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filterPrivacy="1"/>
  <xr:revisionPtr revIDLastSave="0" documentId="8_{20C520DB-2427-471A-A835-E3C29B8F719D}" xr6:coauthVersionLast="47" xr6:coauthVersionMax="47" xr10:uidLastSave="{00000000-0000-0000-0000-000000000000}"/>
  <bookViews>
    <workbookView xWindow="-108" yWindow="-108" windowWidth="23256" windowHeight="12456" firstSheet="1" activeTab="1" xr2:uid="{00000000-000D-0000-FFFF-FFFF00000000}"/>
  </bookViews>
  <sheets>
    <sheet name="Information" sheetId="1" r:id="rId1"/>
    <sheet name="Table" sheetId="4" r:id="rId2"/>
    <sheet name="Income (2024)" sheetId="5" r:id="rId3"/>
    <sheet name="Income (2020)" sheetId="6" r:id="rId4"/>
    <sheet name="Population (2020)" sheetId="7" r:id="rId5"/>
    <sheet name="Population (2024)" sheetId="8" r:id="rId6"/>
    <sheet name="Data (2020)" sheetId="2" r:id="rId7"/>
    <sheet name="Data (2024)" sheetId="3" r:id="rId8"/>
    <sheet name="CPI Fred Data" sheetId="9" r:id="rId9"/>
  </sheets>
  <definedNames>
    <definedName name="_xlnm.Print_Titles" localSheetId="6">'Data (2020)'!$A:$A,'Data (2020)'!$1:$2</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4" l="1"/>
  <c r="I28" i="4"/>
  <c r="I27" i="4"/>
  <c r="I26" i="4"/>
  <c r="I25" i="4"/>
  <c r="I24" i="4"/>
  <c r="I22" i="4"/>
  <c r="I21" i="4"/>
  <c r="I20" i="4"/>
  <c r="H30" i="4"/>
  <c r="H28" i="4"/>
  <c r="H29" i="4" s="1"/>
  <c r="H27" i="4"/>
  <c r="H26" i="4"/>
  <c r="J26" i="4" s="1"/>
  <c r="H25" i="4"/>
  <c r="J25" i="4" s="1"/>
  <c r="H24" i="4"/>
  <c r="J24" i="4" s="1"/>
  <c r="H22" i="4"/>
  <c r="J22" i="4" s="1"/>
  <c r="H21" i="4"/>
  <c r="H20" i="4"/>
  <c r="D30" i="4"/>
  <c r="D28" i="4"/>
  <c r="D29" i="4" s="1"/>
  <c r="D27" i="4"/>
  <c r="D26" i="4"/>
  <c r="D25" i="4"/>
  <c r="D24" i="4"/>
  <c r="E24" i="4" s="1"/>
  <c r="D22" i="4"/>
  <c r="D21" i="4"/>
  <c r="D20" i="4"/>
  <c r="E20" i="4" s="1"/>
  <c r="C30" i="4"/>
  <c r="E30" i="4" s="1"/>
  <c r="C28" i="4"/>
  <c r="C27" i="4"/>
  <c r="C26" i="4"/>
  <c r="C25" i="4"/>
  <c r="C24" i="4"/>
  <c r="C22" i="4"/>
  <c r="E22" i="4" s="1"/>
  <c r="C21" i="4"/>
  <c r="E21" i="4" s="1"/>
  <c r="C20" i="4"/>
  <c r="I15" i="4"/>
  <c r="I13" i="4"/>
  <c r="I12" i="4"/>
  <c r="I11" i="4"/>
  <c r="I10" i="4"/>
  <c r="I9" i="4"/>
  <c r="I7" i="4"/>
  <c r="I6" i="4"/>
  <c r="J6" i="4" s="1"/>
  <c r="I5" i="4"/>
  <c r="H15" i="4"/>
  <c r="H13" i="4"/>
  <c r="H14" i="4" s="1"/>
  <c r="H12" i="4"/>
  <c r="J12" i="4" s="1"/>
  <c r="H11" i="4"/>
  <c r="H10" i="4"/>
  <c r="H9" i="4"/>
  <c r="H7" i="4"/>
  <c r="H6" i="4"/>
  <c r="H5" i="4"/>
  <c r="D15" i="4"/>
  <c r="D13" i="4"/>
  <c r="D12" i="4"/>
  <c r="D11" i="4"/>
  <c r="D10" i="4"/>
  <c r="D9" i="4"/>
  <c r="D7" i="4"/>
  <c r="E7" i="4" s="1"/>
  <c r="D6" i="4"/>
  <c r="E6" i="4" s="1"/>
  <c r="D5" i="4"/>
  <c r="C15" i="4"/>
  <c r="C16" i="4" s="1"/>
  <c r="E16" i="4" s="1"/>
  <c r="C13" i="4"/>
  <c r="C14" i="4" s="1"/>
  <c r="C12" i="4"/>
  <c r="C11" i="4"/>
  <c r="E11" i="4" s="1"/>
  <c r="C10" i="4"/>
  <c r="E10" i="4" s="1"/>
  <c r="C9" i="4"/>
  <c r="C7" i="4"/>
  <c r="C6" i="4"/>
  <c r="C5" i="4"/>
  <c r="J27" i="4"/>
  <c r="E27" i="4"/>
  <c r="E12" i="4"/>
  <c r="J21" i="4"/>
  <c r="J28" i="4"/>
  <c r="J30" i="4"/>
  <c r="J20" i="4"/>
  <c r="E25" i="4"/>
  <c r="E26" i="4"/>
  <c r="E28" i="4"/>
  <c r="J7" i="4"/>
  <c r="J9" i="4"/>
  <c r="J10" i="4"/>
  <c r="J15" i="4"/>
  <c r="J5" i="4"/>
  <c r="E9" i="4"/>
  <c r="E13" i="4"/>
  <c r="E15" i="4"/>
  <c r="E5" i="4"/>
  <c r="I31" i="4"/>
  <c r="J31" i="4" s="1"/>
  <c r="H31" i="4"/>
  <c r="I29" i="4"/>
  <c r="I23" i="4"/>
  <c r="D31" i="4"/>
  <c r="C31" i="4"/>
  <c r="C29" i="4"/>
  <c r="D23" i="4"/>
  <c r="C23" i="4"/>
  <c r="I16" i="4"/>
  <c r="H16" i="4"/>
  <c r="I14" i="4"/>
  <c r="I8" i="4"/>
  <c r="H8" i="4"/>
  <c r="D16" i="4"/>
  <c r="D14" i="4"/>
  <c r="C8" i="4"/>
  <c r="D26" i="9"/>
  <c r="D25" i="9"/>
  <c r="D24" i="9"/>
  <c r="D23" i="9"/>
  <c r="D22" i="9"/>
  <c r="D21" i="9"/>
  <c r="D20" i="9"/>
  <c r="D19" i="9"/>
  <c r="D18" i="9"/>
  <c r="D17" i="9"/>
  <c r="D16" i="9"/>
  <c r="D15" i="9"/>
  <c r="D14" i="9"/>
  <c r="D13" i="9"/>
  <c r="D12" i="9"/>
  <c r="D11" i="9"/>
  <c r="D10" i="9"/>
  <c r="D9" i="9"/>
  <c r="D8" i="9"/>
  <c r="D7" i="9"/>
  <c r="D6" i="9"/>
  <c r="D5" i="9"/>
  <c r="D4" i="9"/>
  <c r="D3" i="9"/>
  <c r="D2" i="9"/>
  <c r="C4" i="9"/>
  <c r="C5" i="9" s="1"/>
  <c r="C6" i="9" s="1"/>
  <c r="C7" i="9" s="1"/>
  <c r="C8" i="9" s="1"/>
  <c r="C9" i="9" s="1"/>
  <c r="C10" i="9" s="1"/>
  <c r="C11" i="9" s="1"/>
  <c r="C12" i="9" s="1"/>
  <c r="C13" i="9" s="1"/>
  <c r="C14" i="9" s="1"/>
  <c r="C15" i="9" s="1"/>
  <c r="C16" i="9" s="1"/>
  <c r="C17" i="9" s="1"/>
  <c r="C18" i="9" s="1"/>
  <c r="C19" i="9" s="1"/>
  <c r="C20" i="9" s="1"/>
  <c r="C21" i="9" s="1"/>
  <c r="C22" i="9" s="1"/>
  <c r="C23" i="9" s="1"/>
  <c r="C24" i="9" s="1"/>
  <c r="C25" i="9" s="1"/>
  <c r="C26" i="9" s="1"/>
  <c r="C3" i="9"/>
  <c r="J29" i="4" l="1"/>
  <c r="H23" i="4"/>
  <c r="J23" i="4" s="1"/>
  <c r="E31" i="4"/>
  <c r="E29" i="4"/>
  <c r="E23" i="4"/>
  <c r="J16" i="4"/>
  <c r="J14" i="4"/>
  <c r="J11" i="4"/>
  <c r="J8" i="4"/>
  <c r="J13" i="4"/>
  <c r="E14" i="4"/>
  <c r="D8" i="4"/>
  <c r="E8" i="4" s="1"/>
</calcChain>
</file>

<file path=xl/sharedStrings.xml><?xml version="1.0" encoding="utf-8"?>
<sst xmlns="http://schemas.openxmlformats.org/spreadsheetml/2006/main" count="11969" uniqueCount="5117">
  <si>
    <t>SELECTED HOUSING CHARACTERISTICS</t>
  </si>
  <si>
    <t>Note: The table shown may have been modified by user selections. Some information may be missing.</t>
  </si>
  <si>
    <t>DATA NOTES</t>
  </si>
  <si>
    <t/>
  </si>
  <si>
    <t>TABLE ID:</t>
  </si>
  <si>
    <t>DP04</t>
  </si>
  <si>
    <t>SURVEY/PROGRAM:</t>
  </si>
  <si>
    <t>American Community Survey</t>
  </si>
  <si>
    <t>VINTAGE:</t>
  </si>
  <si>
    <t>2020</t>
  </si>
  <si>
    <t>DATASET:</t>
  </si>
  <si>
    <t>ACSDP5Y2020</t>
  </si>
  <si>
    <t>PRODUCT:</t>
  </si>
  <si>
    <t>ACS 5-Year Estimates Data Profiles</t>
  </si>
  <si>
    <t>UNIVERSE:</t>
  </si>
  <si>
    <t>None</t>
  </si>
  <si>
    <t>MLA:</t>
  </si>
  <si>
    <t>U.S. Census Bureau. "SELECTED HOUSING CHARACTERISTICS." American Community Survey, ACS 5-Year Estimates Data Profiles, Table DP04, https://data.census.gov/table/ACSDP5Y2020.DP04?q=financial+characteristics+2020&amp;g=160XX00US0541000,1235000,4748000_310XX00US47260_3810000US440005_3910000US47492048000. Accessed on 23 Apr 2026.</t>
  </si>
  <si>
    <t>FTP URL:</t>
  </si>
  <si>
    <t>API URL:</t>
  </si>
  <si>
    <t>https://api.census.gov/data/2020/acs/acs5/profile</t>
  </si>
  <si>
    <t>USER SELECTIONS</t>
  </si>
  <si>
    <t>TOPICS</t>
  </si>
  <si>
    <t>Financial Characteristics</t>
  </si>
  <si>
    <t>VINTAGES</t>
  </si>
  <si>
    <t>GEOS</t>
  </si>
  <si>
    <t>Virginia Beach-Chesapeake-Norfolk, VA-NC Metro Area; Memphis city, Tennessee; Memphis city; Memphis, TN--AR--MS MSA (part); Tennessee; Arkansas (part); Little Rock--North Little Rock, AR MSA; Jacksonville city, Florida; Little Rock city, Arkansas</t>
  </si>
  <si>
    <t>EXCLUDED COLUMNS</t>
  </si>
  <si>
    <t>APPLIED FILTERS</t>
  </si>
  <si>
    <t>APPLIED SORTS</t>
  </si>
  <si>
    <t>PIVOT &amp; GROUPING</t>
  </si>
  <si>
    <t>PIVOT COLUMNS</t>
  </si>
  <si>
    <t>PIVOT MODE</t>
  </si>
  <si>
    <t>Off</t>
  </si>
  <si>
    <t>ROW GROUPS</t>
  </si>
  <si>
    <t>VALUE COLUMNS</t>
  </si>
  <si>
    <t>WEB ADDRESS</t>
  </si>
  <si>
    <t>https://data.census.gov/table/ACSDP5Y2020.DP04?q=financial+characteristics+2020&amp;g=160XX00US0541000,1235000,4748000_310XX00US47260_3810000US440005_3910000US47492048000</t>
  </si>
  <si>
    <t>TABLE NOTES</t>
  </si>
  <si>
    <t>Although the American Community Survey (ACS) produces population, demographic and housing unit estimates, for 2020, the 2020 Census provides the official counts of the population and housing units for the nation, states, counties, cities, and towns. For 2016 to 2019, the Population Estimates Program provides estimates of the population for the nation, states, counties, cities, and towns and intercensal housing unit estimates for the nation, states, and counties.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</si>
  <si>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</si>
  <si>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2016-2020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</si>
  <si>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</si>
  <si>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Households not paying cash rent are excluded from the calculation of median gross rent.</t>
  </si>
  <si>
    <t>Telephone service data are not available for certain geographic areas due to problems with data collection of this question that occurred in 2016 and 2019. Both ACS 1-year and ACS 5-year files were affected. It may take several years in the ACS 5-year files until the estimates are available for the geographic areas affected.</t>
  </si>
  <si>
    <t>The 2016-2020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</si>
  <si>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</si>
  <si>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</si>
  <si>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</si>
  <si>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Little Rock city, Arkansas</t>
  </si>
  <si>
    <t>Jacksonville city, Florida</t>
  </si>
  <si>
    <t>Memphis city, Tennessee</t>
  </si>
  <si>
    <t>Virginia Beach-Norfolk-Newport News, VA-NC Metro Area</t>
  </si>
  <si>
    <t>Label</t>
  </si>
  <si>
    <t>Estimate</t>
  </si>
  <si>
    <t>Margin of Error</t>
  </si>
  <si>
    <t>Percent</t>
  </si>
  <si>
    <t>Percent Margin of Error</t>
  </si>
  <si>
    <t>HOUSING OCCUPANCY</t>
  </si>
  <si>
    <t>Total housing units</t>
  </si>
  <si>
    <t>96,399</t>
  </si>
  <si>
    <t>±1,083</t>
  </si>
  <si>
    <t>(X)</t>
  </si>
  <si>
    <t>389,130</t>
  </si>
  <si>
    <t>±833</t>
  </si>
  <si>
    <t>299,599</t>
  </si>
  <si>
    <t>±1,427</t>
  </si>
  <si>
    <t>739,434</t>
  </si>
  <si>
    <t>±745</t>
  </si>
  <si>
    <t>Occupied housing units</t>
  </si>
  <si>
    <t>83,525</t>
  </si>
  <si>
    <t>±1,328</t>
  </si>
  <si>
    <t>86.6%</t>
  </si>
  <si>
    <t>±1.0</t>
  </si>
  <si>
    <t>348,809</t>
  </si>
  <si>
    <t>±2,342</t>
  </si>
  <si>
    <t>89.6%</t>
  </si>
  <si>
    <t>±0.5</t>
  </si>
  <si>
    <t>255,756</t>
  </si>
  <si>
    <t>±2,087</t>
  </si>
  <si>
    <t>85.4%</t>
  </si>
  <si>
    <t>672,053</t>
  </si>
  <si>
    <t>±2,310</t>
  </si>
  <si>
    <t>90.9%</t>
  </si>
  <si>
    <t>±0.3</t>
  </si>
  <si>
    <t>Vacant housing units</t>
  </si>
  <si>
    <t>12,874</t>
  </si>
  <si>
    <t>±992</t>
  </si>
  <si>
    <t>13.4%</t>
  </si>
  <si>
    <t>40,321</t>
  </si>
  <si>
    <t>±2,064</t>
  </si>
  <si>
    <t>10.4%</t>
  </si>
  <si>
    <t>43,843</t>
  </si>
  <si>
    <t>±1,560</t>
  </si>
  <si>
    <t>14.6%</t>
  </si>
  <si>
    <t>67,381</t>
  </si>
  <si>
    <t>±2,040</t>
  </si>
  <si>
    <t>9.1%</t>
  </si>
  <si>
    <t>Homeowner vacancy rate</t>
  </si>
  <si>
    <t>2.4</t>
  </si>
  <si>
    <t>±0.6</t>
  </si>
  <si>
    <t>2.0</t>
  </si>
  <si>
    <t>1.2</t>
  </si>
  <si>
    <t>±0.2</t>
  </si>
  <si>
    <t>1.8</t>
  </si>
  <si>
    <t>Rental vacancy rate</t>
  </si>
  <si>
    <t>12.0</t>
  </si>
  <si>
    <t>±1.5</t>
  </si>
  <si>
    <t>6.6</t>
  </si>
  <si>
    <t>±0.7</t>
  </si>
  <si>
    <t>8.3</t>
  </si>
  <si>
    <t>6.8</t>
  </si>
  <si>
    <t>UNITS IN STRUCTURE</t>
  </si>
  <si>
    <t>1-unit, detached</t>
  </si>
  <si>
    <t>60,153</t>
  </si>
  <si>
    <t>±1,282</t>
  </si>
  <si>
    <t>62.4%</t>
  </si>
  <si>
    <t>±1.1</t>
  </si>
  <si>
    <t>235,668</t>
  </si>
  <si>
    <t>±2,634</t>
  </si>
  <si>
    <t>60.6%</t>
  </si>
  <si>
    <t>180,207</t>
  </si>
  <si>
    <t>±2,327</t>
  </si>
  <si>
    <t>60.1%</t>
  </si>
  <si>
    <t>451,678</t>
  </si>
  <si>
    <t>±3,029</t>
  </si>
  <si>
    <t>61.1%</t>
  </si>
  <si>
    <t>±0.4</t>
  </si>
  <si>
    <t>1-unit, attached</t>
  </si>
  <si>
    <t>1,472</t>
  </si>
  <si>
    <t>±290</t>
  </si>
  <si>
    <t>1.5%</t>
  </si>
  <si>
    <t>18,749</t>
  </si>
  <si>
    <t>±1,215</t>
  </si>
  <si>
    <t>4.8%</t>
  </si>
  <si>
    <t>14,901</t>
  </si>
  <si>
    <t>±1,129</t>
  </si>
  <si>
    <t>5.0%</t>
  </si>
  <si>
    <t>81,661</t>
  </si>
  <si>
    <t>±2,021</t>
  </si>
  <si>
    <t>11.0%</t>
  </si>
  <si>
    <t>2 units</t>
  </si>
  <si>
    <t>3,000</t>
  </si>
  <si>
    <t>±596</t>
  </si>
  <si>
    <t>3.1%</t>
  </si>
  <si>
    <t>5,972</t>
  </si>
  <si>
    <t>±588</t>
  </si>
  <si>
    <t>7,307</t>
  </si>
  <si>
    <t>±728</t>
  </si>
  <si>
    <t>2.4%</t>
  </si>
  <si>
    <t>15,944</t>
  </si>
  <si>
    <t>±964</t>
  </si>
  <si>
    <t>2.2%</t>
  </si>
  <si>
    <t>±0.1</t>
  </si>
  <si>
    <t>3 or 4 units</t>
  </si>
  <si>
    <t>4,258</t>
  </si>
  <si>
    <t>±751</t>
  </si>
  <si>
    <t>4.4%</t>
  </si>
  <si>
    <t>±0.8</t>
  </si>
  <si>
    <t>16,330</t>
  </si>
  <si>
    <t>±1,417</t>
  </si>
  <si>
    <t>4.2%</t>
  </si>
  <si>
    <t>20,105</t>
  </si>
  <si>
    <t>±1,097</t>
  </si>
  <si>
    <t>6.7%</t>
  </si>
  <si>
    <t>36,038</t>
  </si>
  <si>
    <t>±1,590</t>
  </si>
  <si>
    <t>4.9%</t>
  </si>
  <si>
    <t>5 to 9 units</t>
  </si>
  <si>
    <t>7,895</t>
  </si>
  <si>
    <t>±1,010</t>
  </si>
  <si>
    <t>8.2%</t>
  </si>
  <si>
    <t>21,669</t>
  </si>
  <si>
    <t>±1,295</t>
  </si>
  <si>
    <t>5.6%</t>
  </si>
  <si>
    <t>31,713</t>
  </si>
  <si>
    <t>±1,662</t>
  </si>
  <si>
    <t>10.6%</t>
  </si>
  <si>
    <t>52,780</t>
  </si>
  <si>
    <t>±2,049</t>
  </si>
  <si>
    <t>7.1%</t>
  </si>
  <si>
    <t>10 to 19 units</t>
  </si>
  <si>
    <t>8,167</t>
  </si>
  <si>
    <t>±906</t>
  </si>
  <si>
    <t>8.5%</t>
  </si>
  <si>
    <t>±0.9</t>
  </si>
  <si>
    <t>32,577</t>
  </si>
  <si>
    <t>±1,859</t>
  </si>
  <si>
    <t>8.4%</t>
  </si>
  <si>
    <t>19,152</t>
  </si>
  <si>
    <t>±1,191</t>
  </si>
  <si>
    <t>6.4%</t>
  </si>
  <si>
    <t>35,911</t>
  </si>
  <si>
    <t>±1,473</t>
  </si>
  <si>
    <t>20 or more units</t>
  </si>
  <si>
    <t>10,080</t>
  </si>
  <si>
    <t>±808</t>
  </si>
  <si>
    <t>10.5%</t>
  </si>
  <si>
    <t>39,895</t>
  </si>
  <si>
    <t>±1,725</t>
  </si>
  <si>
    <t>10.3%</t>
  </si>
  <si>
    <t>23,092</t>
  </si>
  <si>
    <t>±949</t>
  </si>
  <si>
    <t>7.7%</t>
  </si>
  <si>
    <t>45,148</t>
  </si>
  <si>
    <t>±1,491</t>
  </si>
  <si>
    <t>6.1%</t>
  </si>
  <si>
    <t>Mobile home</t>
  </si>
  <si>
    <t>1,290</t>
  </si>
  <si>
    <t>±292</t>
  </si>
  <si>
    <t>1.3%</t>
  </si>
  <si>
    <t>18,081</t>
  </si>
  <si>
    <t>±1,195</t>
  </si>
  <si>
    <t>4.6%</t>
  </si>
  <si>
    <t>3,010</t>
  </si>
  <si>
    <t>±412</t>
  </si>
  <si>
    <t>1.0%</t>
  </si>
  <si>
    <t>19,952</t>
  </si>
  <si>
    <t>±946</t>
  </si>
  <si>
    <t>2.7%</t>
  </si>
  <si>
    <t>Boat, RV, van, etc.</t>
  </si>
  <si>
    <t>84</t>
  </si>
  <si>
    <t>±115</t>
  </si>
  <si>
    <t>0.1%</t>
  </si>
  <si>
    <t>189</t>
  </si>
  <si>
    <t>±90</t>
  </si>
  <si>
    <t>0.0%</t>
  </si>
  <si>
    <t>112</t>
  </si>
  <si>
    <t>±69</t>
  </si>
  <si>
    <t>322</t>
  </si>
  <si>
    <t>±145</t>
  </si>
  <si>
    <t>YEAR STRUCTURE BUILT</t>
  </si>
  <si>
    <t>Built 2014 or later</t>
  </si>
  <si>
    <t>3,748</t>
  </si>
  <si>
    <t>±677</t>
  </si>
  <si>
    <t>3.9%</t>
  </si>
  <si>
    <t>17,808</t>
  </si>
  <si>
    <t>±1,522</t>
  </si>
  <si>
    <t>4,130</t>
  </si>
  <si>
    <t>±616</t>
  </si>
  <si>
    <t>1.4%</t>
  </si>
  <si>
    <t>27,376</t>
  </si>
  <si>
    <t>±1,309</t>
  </si>
  <si>
    <t>3.7%</t>
  </si>
  <si>
    <t>Built 2010 to 2013</t>
  </si>
  <si>
    <t>3,144</t>
  </si>
  <si>
    <t>±441</t>
  </si>
  <si>
    <t>3.3%</t>
  </si>
  <si>
    <t>11,357</t>
  </si>
  <si>
    <t>±1,070</t>
  </si>
  <si>
    <t>2.9%</t>
  </si>
  <si>
    <t>3,708</t>
  </si>
  <si>
    <t>±657</t>
  </si>
  <si>
    <t>1.2%</t>
  </si>
  <si>
    <t>23,486</t>
  </si>
  <si>
    <t>±1,284</t>
  </si>
  <si>
    <t>3.2%</t>
  </si>
  <si>
    <t>Built 2000 to 2009</t>
  </si>
  <si>
    <t>10,569</t>
  </si>
  <si>
    <t>±861</t>
  </si>
  <si>
    <t>71,288</t>
  </si>
  <si>
    <t>±2,358</t>
  </si>
  <si>
    <t>18.3%</t>
  </si>
  <si>
    <t>19,487</t>
  </si>
  <si>
    <t>±1,210</t>
  </si>
  <si>
    <t>6.5%</t>
  </si>
  <si>
    <t>93,027</t>
  </si>
  <si>
    <t>±2,283</t>
  </si>
  <si>
    <t>12.6%</t>
  </si>
  <si>
    <t>Built 1990 to 1999</t>
  </si>
  <si>
    <t>12,225</t>
  </si>
  <si>
    <t>±973</t>
  </si>
  <si>
    <t>12.7%</t>
  </si>
  <si>
    <t>60,060</t>
  </si>
  <si>
    <t>±2,229</t>
  </si>
  <si>
    <t>15.4%</t>
  </si>
  <si>
    <t>30,231</t>
  </si>
  <si>
    <t>±1,392</t>
  </si>
  <si>
    <t>10.1%</t>
  </si>
  <si>
    <t>113,391</t>
  </si>
  <si>
    <t>±2,181</t>
  </si>
  <si>
    <t>15.3%</t>
  </si>
  <si>
    <t>Built 1980 to 1989</t>
  </si>
  <si>
    <t>13,676</t>
  </si>
  <si>
    <t>±950</t>
  </si>
  <si>
    <t>14.2%</t>
  </si>
  <si>
    <t>60,199</t>
  </si>
  <si>
    <t>±2,188</t>
  </si>
  <si>
    <t>15.5%</t>
  </si>
  <si>
    <t>36,462</t>
  </si>
  <si>
    <t>±1,345</t>
  </si>
  <si>
    <t>12.2%</t>
  </si>
  <si>
    <t>138,152</t>
  </si>
  <si>
    <t>±2,607</t>
  </si>
  <si>
    <t>18.7%</t>
  </si>
  <si>
    <t>Built 1970 to 1979</t>
  </si>
  <si>
    <t>18,612</t>
  </si>
  <si>
    <t>±1,113</t>
  </si>
  <si>
    <t>19.3%</t>
  </si>
  <si>
    <t>48,810</t>
  </si>
  <si>
    <t>±2,147</t>
  </si>
  <si>
    <t>12.5%</t>
  </si>
  <si>
    <t>53,778</t>
  </si>
  <si>
    <t>±1,711</t>
  </si>
  <si>
    <t>17.9%</t>
  </si>
  <si>
    <t>115,186</t>
  </si>
  <si>
    <t>±2,734</t>
  </si>
  <si>
    <t>15.6%</t>
  </si>
  <si>
    <t>Built 1960 to 1969</t>
  </si>
  <si>
    <t>13,592</t>
  </si>
  <si>
    <t>14.1%</t>
  </si>
  <si>
    <t>38,773</t>
  </si>
  <si>
    <t>±1,850</t>
  </si>
  <si>
    <t>10.0%</t>
  </si>
  <si>
    <t>43,128</t>
  </si>
  <si>
    <t>±1,493</t>
  </si>
  <si>
    <t>14.4%</t>
  </si>
  <si>
    <t>85,704</t>
  </si>
  <si>
    <t>±1,844</t>
  </si>
  <si>
    <t>11.6%</t>
  </si>
  <si>
    <t>Built 1950 to 1959</t>
  </si>
  <si>
    <t>8,820</t>
  </si>
  <si>
    <t>±698</t>
  </si>
  <si>
    <t>42,500</t>
  </si>
  <si>
    <t>±1,644</t>
  </si>
  <si>
    <t>10.9%</t>
  </si>
  <si>
    <t>57,599</t>
  </si>
  <si>
    <t>±1,541</t>
  </si>
  <si>
    <t>19.2%</t>
  </si>
  <si>
    <t>70,246</t>
  </si>
  <si>
    <t>±1,741</t>
  </si>
  <si>
    <t>9.5%</t>
  </si>
  <si>
    <t>Built 1940 to 1949</t>
  </si>
  <si>
    <t>4,949</t>
  </si>
  <si>
    <t>±672</t>
  </si>
  <si>
    <t>5.1%</t>
  </si>
  <si>
    <t>18,394</t>
  </si>
  <si>
    <t>±1,114</t>
  </si>
  <si>
    <t>4.7%</t>
  </si>
  <si>
    <t>28,090</t>
  </si>
  <si>
    <t>±1,432</t>
  </si>
  <si>
    <t>9.4%</t>
  </si>
  <si>
    <t>30,657</t>
  </si>
  <si>
    <t>±1,308</t>
  </si>
  <si>
    <t>4.1%</t>
  </si>
  <si>
    <t>Built 1939 or earlier</t>
  </si>
  <si>
    <t>7,064</t>
  </si>
  <si>
    <t>±504</t>
  </si>
  <si>
    <t>7.3%</t>
  </si>
  <si>
    <t>19,941</t>
  </si>
  <si>
    <t>±1,178</t>
  </si>
  <si>
    <t>22,986</t>
  </si>
  <si>
    <t>±1,049</t>
  </si>
  <si>
    <t>42,209</t>
  </si>
  <si>
    <t>±1,240</t>
  </si>
  <si>
    <t>5.7%</t>
  </si>
  <si>
    <t>ROOMS</t>
  </si>
  <si>
    <t>1 room</t>
  </si>
  <si>
    <t>3,240</t>
  </si>
  <si>
    <t>±503</t>
  </si>
  <si>
    <t>3.4%</t>
  </si>
  <si>
    <t>6,706</t>
  </si>
  <si>
    <t>±673</t>
  </si>
  <si>
    <t>1.7%</t>
  </si>
  <si>
    <t>5,767</t>
  </si>
  <si>
    <t>±687</t>
  </si>
  <si>
    <t>1.9%</t>
  </si>
  <si>
    <t>9,647</t>
  </si>
  <si>
    <t>±732</t>
  </si>
  <si>
    <t>2 rooms</t>
  </si>
  <si>
    <t>3,127</t>
  </si>
  <si>
    <t>10,731</t>
  </si>
  <si>
    <t>±1,102</t>
  </si>
  <si>
    <t>2.8%</t>
  </si>
  <si>
    <t>3,538</t>
  </si>
  <si>
    <t>±443</t>
  </si>
  <si>
    <t>10,855</t>
  </si>
  <si>
    <t>±843</t>
  </si>
  <si>
    <t>3 rooms</t>
  </si>
  <si>
    <t>9,734</t>
  </si>
  <si>
    <t>±998</t>
  </si>
  <si>
    <t>35,828</t>
  </si>
  <si>
    <t>±1,773</t>
  </si>
  <si>
    <t>9.2%</t>
  </si>
  <si>
    <t>29,311</t>
  </si>
  <si>
    <t>±1,376</t>
  </si>
  <si>
    <t>9.8%</t>
  </si>
  <si>
    <t>46,004</t>
  </si>
  <si>
    <t>±2,031</t>
  </si>
  <si>
    <t>6.2%</t>
  </si>
  <si>
    <t>4 rooms</t>
  </si>
  <si>
    <t>16,504</t>
  </si>
  <si>
    <t>±1,293</t>
  </si>
  <si>
    <t>17.1%</t>
  </si>
  <si>
    <t>±1.4</t>
  </si>
  <si>
    <t>62,875</t>
  </si>
  <si>
    <t>±2,149</t>
  </si>
  <si>
    <t>16.2%</t>
  </si>
  <si>
    <t>57,458</t>
  </si>
  <si>
    <t>±1,726</t>
  </si>
  <si>
    <t>110,104</t>
  </si>
  <si>
    <t>±2,437</t>
  </si>
  <si>
    <t>14.9%</t>
  </si>
  <si>
    <t>5 rooms</t>
  </si>
  <si>
    <t>19,409</t>
  </si>
  <si>
    <t>±1,319</t>
  </si>
  <si>
    <t>20.1%</t>
  </si>
  <si>
    <t>±1.3</t>
  </si>
  <si>
    <t>77,339</t>
  </si>
  <si>
    <t>±2,728</t>
  </si>
  <si>
    <t>19.9%</t>
  </si>
  <si>
    <t>68,089</t>
  </si>
  <si>
    <t>±1,898</t>
  </si>
  <si>
    <t>22.7%</t>
  </si>
  <si>
    <t>127,937</t>
  </si>
  <si>
    <t>±2,658</t>
  </si>
  <si>
    <t>17.3%</t>
  </si>
  <si>
    <t>6 rooms</t>
  </si>
  <si>
    <t>17,029</t>
  </si>
  <si>
    <t>±1,088</t>
  </si>
  <si>
    <t>17.7%</t>
  </si>
  <si>
    <t>78,011</t>
  </si>
  <si>
    <t>20.0%</t>
  </si>
  <si>
    <t>59,742</t>
  </si>
  <si>
    <t>±1,950</t>
  </si>
  <si>
    <t>131,006</t>
  </si>
  <si>
    <t>±2,520</t>
  </si>
  <si>
    <t>7 rooms</t>
  </si>
  <si>
    <t>10,689</t>
  </si>
  <si>
    <t>±806</t>
  </si>
  <si>
    <t>11.1%</t>
  </si>
  <si>
    <t>50,848</t>
  </si>
  <si>
    <t>±1,802</t>
  </si>
  <si>
    <t>13.1%</t>
  </si>
  <si>
    <t>33,877</t>
  </si>
  <si>
    <t>±1,594</t>
  </si>
  <si>
    <t>11.3%</t>
  </si>
  <si>
    <t>105,759</t>
  </si>
  <si>
    <t>±2,258</t>
  </si>
  <si>
    <t>14.3%</t>
  </si>
  <si>
    <t>8 rooms</t>
  </si>
  <si>
    <t>±585</t>
  </si>
  <si>
    <t>7.0%</t>
  </si>
  <si>
    <t>34,216</t>
  </si>
  <si>
    <t>±1,529</t>
  </si>
  <si>
    <t>8.8%</t>
  </si>
  <si>
    <t>21,296</t>
  </si>
  <si>
    <t>±1,176</t>
  </si>
  <si>
    <t>89,714</t>
  </si>
  <si>
    <t>±2,168</t>
  </si>
  <si>
    <t>12.1%</t>
  </si>
  <si>
    <t>9 rooms or more</t>
  </si>
  <si>
    <t>9,961</t>
  </si>
  <si>
    <t>±724</t>
  </si>
  <si>
    <t>32,576</t>
  </si>
  <si>
    <t>±1,627</t>
  </si>
  <si>
    <t>20,521</t>
  </si>
  <si>
    <t>6.8%</t>
  </si>
  <si>
    <t>108,408</t>
  </si>
  <si>
    <t>±2,441</t>
  </si>
  <si>
    <t>14.7%</t>
  </si>
  <si>
    <t>Median rooms</t>
  </si>
  <si>
    <t>5.3</t>
  </si>
  <si>
    <t>5.5</t>
  </si>
  <si>
    <t>6.0</t>
  </si>
  <si>
    <t>BEDROOMS</t>
  </si>
  <si>
    <t>No bedroom</t>
  </si>
  <si>
    <t>3,330</t>
  </si>
  <si>
    <t>±505</t>
  </si>
  <si>
    <t>3.5%</t>
  </si>
  <si>
    <t>7,261</t>
  </si>
  <si>
    <t>±708</t>
  </si>
  <si>
    <t>6,162</t>
  </si>
  <si>
    <t>±700</t>
  </si>
  <si>
    <t>2.1%</t>
  </si>
  <si>
    <t>10,365</t>
  </si>
  <si>
    <t>±734</t>
  </si>
  <si>
    <t>1 bedroom</t>
  </si>
  <si>
    <t>12,971</t>
  </si>
  <si>
    <t>±987</t>
  </si>
  <si>
    <t>13.5%</t>
  </si>
  <si>
    <t>42,285</t>
  </si>
  <si>
    <t>±2,239</t>
  </si>
  <si>
    <t>36,568</t>
  </si>
  <si>
    <t>±1,584</t>
  </si>
  <si>
    <t>51,295</t>
  </si>
  <si>
    <t>±1,639</t>
  </si>
  <si>
    <t>6.9%</t>
  </si>
  <si>
    <t>2 bedrooms</t>
  </si>
  <si>
    <t>26,236</t>
  </si>
  <si>
    <t>±1,454</t>
  </si>
  <si>
    <t>27.2%</t>
  </si>
  <si>
    <t>94,174</t>
  </si>
  <si>
    <t>±2,682</t>
  </si>
  <si>
    <t>24.2%</t>
  </si>
  <si>
    <t>94,491</t>
  </si>
  <si>
    <t>±2,132</t>
  </si>
  <si>
    <t>31.5%</t>
  </si>
  <si>
    <t>178,471</t>
  </si>
  <si>
    <t>±2,588</t>
  </si>
  <si>
    <t>24.1%</t>
  </si>
  <si>
    <t>3 bedrooms</t>
  </si>
  <si>
    <t>37,017</t>
  </si>
  <si>
    <t>±1,446</t>
  </si>
  <si>
    <t>38.4%</t>
  </si>
  <si>
    <t>168,416</t>
  </si>
  <si>
    <t>±2,873</t>
  </si>
  <si>
    <t>43.3%</t>
  </si>
  <si>
    <t>118,846</t>
  </si>
  <si>
    <t>±2,204</t>
  </si>
  <si>
    <t>39.7%</t>
  </si>
  <si>
    <t>295,508</t>
  </si>
  <si>
    <t>±2,901</t>
  </si>
  <si>
    <t>40.0%</t>
  </si>
  <si>
    <t>4 bedrooms</t>
  </si>
  <si>
    <t>13,669</t>
  </si>
  <si>
    <t>±862</t>
  </si>
  <si>
    <t>66,228</t>
  </si>
  <si>
    <t>±2,103</t>
  </si>
  <si>
    <t>17.0%</t>
  </si>
  <si>
    <t>35,070</t>
  </si>
  <si>
    <t>±1,374</t>
  </si>
  <si>
    <t>11.7%</t>
  </si>
  <si>
    <t>162,398</t>
  </si>
  <si>
    <t>±2,662</t>
  </si>
  <si>
    <t>22.0%</t>
  </si>
  <si>
    <t>5 or more bedrooms</t>
  </si>
  <si>
    <t>3,176</t>
  </si>
  <si>
    <t>±394</t>
  </si>
  <si>
    <t>10,766</t>
  </si>
  <si>
    <t>±1,000</t>
  </si>
  <si>
    <t>8,462</t>
  </si>
  <si>
    <t>±679</t>
  </si>
  <si>
    <t>41,397</t>
  </si>
  <si>
    <t>±1,275</t>
  </si>
  <si>
    <t>HOUSING TENURE</t>
  </si>
  <si>
    <t>Owner-occupied</t>
  </si>
  <si>
    <t>45,625</t>
  </si>
  <si>
    <t>±1,464</t>
  </si>
  <si>
    <t>54.6%</t>
  </si>
  <si>
    <t>196,649</t>
  </si>
  <si>
    <t>±2,556</t>
  </si>
  <si>
    <t>56.4%</t>
  </si>
  <si>
    <t>118,235</t>
  </si>
  <si>
    <t>±2,383</t>
  </si>
  <si>
    <t>46.2%</t>
  </si>
  <si>
    <t>418,960</t>
  </si>
  <si>
    <t>±3,643</t>
  </si>
  <si>
    <t>62.3%</t>
  </si>
  <si>
    <t>Renter-occupied</t>
  </si>
  <si>
    <t>37,900</t>
  </si>
  <si>
    <t>±1,341</t>
  </si>
  <si>
    <t>45.4%</t>
  </si>
  <si>
    <t>152,160</t>
  </si>
  <si>
    <t>±2,801</t>
  </si>
  <si>
    <t>43.6%</t>
  </si>
  <si>
    <t>137,521</t>
  </si>
  <si>
    <t>±2,353</t>
  </si>
  <si>
    <t>53.8%</t>
  </si>
  <si>
    <t>253,093</t>
  </si>
  <si>
    <t>±3,104</t>
  </si>
  <si>
    <t>37.7%</t>
  </si>
  <si>
    <t>Average household size of owner-occupied unit</t>
  </si>
  <si>
    <t>2.45</t>
  </si>
  <si>
    <t>±0.05</t>
  </si>
  <si>
    <t>2.62</t>
  </si>
  <si>
    <t>±0.03</t>
  </si>
  <si>
    <t>2.53</t>
  </si>
  <si>
    <t>±0.04</t>
  </si>
  <si>
    <t>2.60</t>
  </si>
  <si>
    <t>±0.01</t>
  </si>
  <si>
    <t>Average household size of renter-occupied unit</t>
  </si>
  <si>
    <t>2.18</t>
  </si>
  <si>
    <t>±0.06</t>
  </si>
  <si>
    <t>2.41</t>
  </si>
  <si>
    <t>±0.02</t>
  </si>
  <si>
    <t>YEAR HOUSEHOLDER MOVED INTO UNIT</t>
  </si>
  <si>
    <t>Moved in 2019 or later</t>
  </si>
  <si>
    <t>4,591</t>
  </si>
  <si>
    <t>±717</t>
  </si>
  <si>
    <t>5.5%</t>
  </si>
  <si>
    <t>23,706</t>
  </si>
  <si>
    <t>±1,736</t>
  </si>
  <si>
    <t>16,657</t>
  </si>
  <si>
    <t>±1,265</t>
  </si>
  <si>
    <t>37,905</t>
  </si>
  <si>
    <t>±1,918</t>
  </si>
  <si>
    <t>Moved in 2015 to 2018</t>
  </si>
  <si>
    <t>30,175</t>
  </si>
  <si>
    <t>±1,363</t>
  </si>
  <si>
    <t>36.1%</t>
  </si>
  <si>
    <t>±1.7</t>
  </si>
  <si>
    <t>126,954</t>
  </si>
  <si>
    <t>±2,509</t>
  </si>
  <si>
    <t>36.4%</t>
  </si>
  <si>
    <t>86,940</t>
  </si>
  <si>
    <t>±2,366</t>
  </si>
  <si>
    <t>34.0%</t>
  </si>
  <si>
    <t>211,136</t>
  </si>
  <si>
    <t>±2,732</t>
  </si>
  <si>
    <t>31.4%</t>
  </si>
  <si>
    <t>Moved in 2010 to 2014</t>
  </si>
  <si>
    <t>16,436</t>
  </si>
  <si>
    <t>±941</t>
  </si>
  <si>
    <t>19.7%</t>
  </si>
  <si>
    <t>66,362</t>
  </si>
  <si>
    <t>19.0%</t>
  </si>
  <si>
    <t>50,169</t>
  </si>
  <si>
    <t>±1,822</t>
  </si>
  <si>
    <t>19.6%</t>
  </si>
  <si>
    <t>124,166</t>
  </si>
  <si>
    <t>±2,485</t>
  </si>
  <si>
    <t>18.5%</t>
  </si>
  <si>
    <t>Moved in 2000 to 2009</t>
  </si>
  <si>
    <t>17,222</t>
  </si>
  <si>
    <t>±1,108</t>
  </si>
  <si>
    <t>20.6%</t>
  </si>
  <si>
    <t>±1.2</t>
  </si>
  <si>
    <t>64,860</t>
  </si>
  <si>
    <t>±1,888</t>
  </si>
  <si>
    <t>18.6%</t>
  </si>
  <si>
    <t>44,273</t>
  </si>
  <si>
    <t>±1,576</t>
  </si>
  <si>
    <t>137,823</t>
  </si>
  <si>
    <t>±2,531</t>
  </si>
  <si>
    <t>20.5%</t>
  </si>
  <si>
    <t>Moved in 1990 to 1999</t>
  </si>
  <si>
    <t>8,298</t>
  </si>
  <si>
    <t>±710</t>
  </si>
  <si>
    <t>9.9%</t>
  </si>
  <si>
    <t>33,735</t>
  </si>
  <si>
    <t>±1,394</t>
  </si>
  <si>
    <t>9.7%</t>
  </si>
  <si>
    <t>27,097</t>
  </si>
  <si>
    <t>±1,092</t>
  </si>
  <si>
    <t>81,213</t>
  </si>
  <si>
    <t>±1,996</t>
  </si>
  <si>
    <t>Moved in 1989 and earlier</t>
  </si>
  <si>
    <t>6,803</t>
  </si>
  <si>
    <t>±747</t>
  </si>
  <si>
    <t>8.1%</t>
  </si>
  <si>
    <t>33,192</t>
  </si>
  <si>
    <t>±1,380</t>
  </si>
  <si>
    <t>30,620</t>
  </si>
  <si>
    <t>±1,205</t>
  </si>
  <si>
    <t>12.0%</t>
  </si>
  <si>
    <t>79,810</t>
  </si>
  <si>
    <t>±1,869</t>
  </si>
  <si>
    <t>11.9%</t>
  </si>
  <si>
    <t>VEHICLES AVAILABLE</t>
  </si>
  <si>
    <t>No vehicles available</t>
  </si>
  <si>
    <t>6,865</t>
  </si>
  <si>
    <t>27,098</t>
  </si>
  <si>
    <t>±1,407</t>
  </si>
  <si>
    <t>7.8%</t>
  </si>
  <si>
    <t>28,470</t>
  </si>
  <si>
    <t>±1,292</t>
  </si>
  <si>
    <t>44,687</t>
  </si>
  <si>
    <t>±1,661</t>
  </si>
  <si>
    <t>6.6%</t>
  </si>
  <si>
    <t>1 vehicle available</t>
  </si>
  <si>
    <t>34,498</t>
  </si>
  <si>
    <t>±1,506</t>
  </si>
  <si>
    <t>41.3%</t>
  </si>
  <si>
    <t>±1.6</t>
  </si>
  <si>
    <t>137,403</t>
  </si>
  <si>
    <t>±2,772</t>
  </si>
  <si>
    <t>39.4%</t>
  </si>
  <si>
    <t>113,452</t>
  </si>
  <si>
    <t>±2,513</t>
  </si>
  <si>
    <t>44.4%</t>
  </si>
  <si>
    <t>206,793</t>
  </si>
  <si>
    <t>±3,053</t>
  </si>
  <si>
    <t>30.8%</t>
  </si>
  <si>
    <t>2 vehicles available</t>
  </si>
  <si>
    <t>29,430</t>
  </si>
  <si>
    <t>±1,431</t>
  </si>
  <si>
    <t>35.2%</t>
  </si>
  <si>
    <t>130,715</t>
  </si>
  <si>
    <t>±2,489</t>
  </si>
  <si>
    <t>37.5%</t>
  </si>
  <si>
    <t>78,437</t>
  </si>
  <si>
    <t>±1,944</t>
  </si>
  <si>
    <t>30.7%</t>
  </si>
  <si>
    <t>256,379</t>
  </si>
  <si>
    <t>±3,334</t>
  </si>
  <si>
    <t>38.1%</t>
  </si>
  <si>
    <t>3 or more vehicles available</t>
  </si>
  <si>
    <t>12,732</t>
  </si>
  <si>
    <t>±885</t>
  </si>
  <si>
    <t>15.2%</t>
  </si>
  <si>
    <t>53,593</t>
  </si>
  <si>
    <t>±1,867</t>
  </si>
  <si>
    <t>35,397</t>
  </si>
  <si>
    <t>±1,528</t>
  </si>
  <si>
    <t>13.8%</t>
  </si>
  <si>
    <t>164,194</t>
  </si>
  <si>
    <t>±2,567</t>
  </si>
  <si>
    <t>24.4%</t>
  </si>
  <si>
    <t>HOUSE HEATING FUEL</t>
  </si>
  <si>
    <t>Utility gas</t>
  </si>
  <si>
    <t>41,454</t>
  </si>
  <si>
    <t>±1,217</t>
  </si>
  <si>
    <t>49.6%</t>
  </si>
  <si>
    <t>8,683</t>
  </si>
  <si>
    <t>±845</t>
  </si>
  <si>
    <t>2.5%</t>
  </si>
  <si>
    <t>122,062</t>
  </si>
  <si>
    <t>±2,422</t>
  </si>
  <si>
    <t>47.7%</t>
  </si>
  <si>
    <t>247,558</t>
  </si>
  <si>
    <t>±2,615</t>
  </si>
  <si>
    <t>36.8%</t>
  </si>
  <si>
    <t>Bottled, tank, or LP gas</t>
  </si>
  <si>
    <t>992</t>
  </si>
  <si>
    <t>±255</t>
  </si>
  <si>
    <t>2,893</t>
  </si>
  <si>
    <t>±434</t>
  </si>
  <si>
    <t>0.8%</t>
  </si>
  <si>
    <t>2,118</t>
  </si>
  <si>
    <t>±448</t>
  </si>
  <si>
    <t>15,911</t>
  </si>
  <si>
    <t>Electricity</t>
  </si>
  <si>
    <t>40,414</t>
  </si>
  <si>
    <t>48.4%</t>
  </si>
  <si>
    <t>332,003</t>
  </si>
  <si>
    <t>±2,454</t>
  </si>
  <si>
    <t>95.2%</t>
  </si>
  <si>
    <t>129,416</t>
  </si>
  <si>
    <t>±2,022</t>
  </si>
  <si>
    <t>50.6%</t>
  </si>
  <si>
    <t>383,959</t>
  </si>
  <si>
    <t>57.1%</t>
  </si>
  <si>
    <t>Fuel oil, kerosene, etc.</t>
  </si>
  <si>
    <t>67</t>
  </si>
  <si>
    <t>±59</t>
  </si>
  <si>
    <t>1,156</t>
  </si>
  <si>
    <t>±374</t>
  </si>
  <si>
    <t>0.3%</t>
  </si>
  <si>
    <t>179</t>
  </si>
  <si>
    <t>±80</t>
  </si>
  <si>
    <t>15,765</t>
  </si>
  <si>
    <t>±895</t>
  </si>
  <si>
    <t>2.3%</t>
  </si>
  <si>
    <t>Coal or coke</t>
  </si>
  <si>
    <t>0</t>
  </si>
  <si>
    <t>±29</t>
  </si>
  <si>
    <t>82</t>
  </si>
  <si>
    <t>±66</t>
  </si>
  <si>
    <t>44</t>
  </si>
  <si>
    <t>±39</t>
  </si>
  <si>
    <t>192</t>
  </si>
  <si>
    <t>±106</t>
  </si>
  <si>
    <t>Wood</t>
  </si>
  <si>
    <t>144</t>
  </si>
  <si>
    <t>±77</t>
  </si>
  <si>
    <t>0.2%</t>
  </si>
  <si>
    <t>326</t>
  </si>
  <si>
    <t>±104</t>
  </si>
  <si>
    <t>298</t>
  </si>
  <si>
    <t>±138</t>
  </si>
  <si>
    <t>3,266</t>
  </si>
  <si>
    <t>±393</t>
  </si>
  <si>
    <t>0.5%</t>
  </si>
  <si>
    <t>Solar energy</t>
  </si>
  <si>
    <t>231</t>
  </si>
  <si>
    <t>72</t>
  </si>
  <si>
    <t>±91</t>
  </si>
  <si>
    <t>315</t>
  </si>
  <si>
    <t>±201</t>
  </si>
  <si>
    <t>Other fuel</t>
  </si>
  <si>
    <t>162</t>
  </si>
  <si>
    <t>±72</t>
  </si>
  <si>
    <t>320</t>
  </si>
  <si>
    <t>±150</t>
  </si>
  <si>
    <t>1,601</t>
  </si>
  <si>
    <t>±244</t>
  </si>
  <si>
    <t>No fuel used</t>
  </si>
  <si>
    <t>454</t>
  </si>
  <si>
    <t>±216</t>
  </si>
  <si>
    <t>3,273</t>
  </si>
  <si>
    <t>±591</t>
  </si>
  <si>
    <t>0.9%</t>
  </si>
  <si>
    <t>1,247</t>
  </si>
  <si>
    <t>±254</t>
  </si>
  <si>
    <t>3,486</t>
  </si>
  <si>
    <t>±495</t>
  </si>
  <si>
    <t>SELECTED CHARACTERISTICS</t>
  </si>
  <si>
    <t>Lacking complete plumbing facilities</t>
  </si>
  <si>
    <t>262</t>
  </si>
  <si>
    <t>±161</t>
  </si>
  <si>
    <t>782</t>
  </si>
  <si>
    <t>±235</t>
  </si>
  <si>
    <t>879</t>
  </si>
  <si>
    <t>±310</t>
  </si>
  <si>
    <t>2,958</t>
  </si>
  <si>
    <t>±512</t>
  </si>
  <si>
    <t>0.4%</t>
  </si>
  <si>
    <t>Lacking complete kitchen facilities</t>
  </si>
  <si>
    <t>691</t>
  </si>
  <si>
    <t>±220</t>
  </si>
  <si>
    <t>2,073</t>
  </si>
  <si>
    <t>±317</t>
  </si>
  <si>
    <t>0.6%</t>
  </si>
  <si>
    <t>2,288</t>
  </si>
  <si>
    <t>±629</t>
  </si>
  <si>
    <t>3,398</t>
  </si>
  <si>
    <t>±484</t>
  </si>
  <si>
    <t>No telephone service available</t>
  </si>
  <si>
    <t>1,512</t>
  </si>
  <si>
    <t>±359</t>
  </si>
  <si>
    <t>1.8%</t>
  </si>
  <si>
    <t>5,453</t>
  </si>
  <si>
    <t>±595</t>
  </si>
  <si>
    <t>1.6%</t>
  </si>
  <si>
    <t>4,641</t>
  </si>
  <si>
    <t>±542</t>
  </si>
  <si>
    <t>7,687</t>
  </si>
  <si>
    <t>1.1%</t>
  </si>
  <si>
    <t>OCCUPANTS PER ROOM</t>
  </si>
  <si>
    <t>1.00 or less</t>
  </si>
  <si>
    <t>81,423</t>
  </si>
  <si>
    <t>97.5%</t>
  </si>
  <si>
    <t>341,005</t>
  </si>
  <si>
    <t>±2,408</t>
  </si>
  <si>
    <t>97.8%</t>
  </si>
  <si>
    <t>249,171</t>
  </si>
  <si>
    <t>±2,197</t>
  </si>
  <si>
    <t>97.4%</t>
  </si>
  <si>
    <t>661,233</t>
  </si>
  <si>
    <t>±2,703</t>
  </si>
  <si>
    <t>98.4%</t>
  </si>
  <si>
    <t>1.01 to 1.50</t>
  </si>
  <si>
    <t>1,430</t>
  </si>
  <si>
    <t>±350</t>
  </si>
  <si>
    <t>±697</t>
  </si>
  <si>
    <t>5,133</t>
  </si>
  <si>
    <t>±538</t>
  </si>
  <si>
    <t>2.0%</t>
  </si>
  <si>
    <t>7,512</t>
  </si>
  <si>
    <t>±905</t>
  </si>
  <si>
    <t>1.51 or more</t>
  </si>
  <si>
    <t>672</t>
  </si>
  <si>
    <t>±239</t>
  </si>
  <si>
    <t>2,037</t>
  </si>
  <si>
    <t>±382</t>
  </si>
  <si>
    <t>1,452</t>
  </si>
  <si>
    <t>±422</t>
  </si>
  <si>
    <t>3,308</t>
  </si>
  <si>
    <t>±501</t>
  </si>
  <si>
    <t>VALUE</t>
  </si>
  <si>
    <t>Owner-occupied units</t>
  </si>
  <si>
    <t>Less than $50,000</t>
  </si>
  <si>
    <t>2,764</t>
  </si>
  <si>
    <t>±360</t>
  </si>
  <si>
    <t>13,338</t>
  </si>
  <si>
    <t>15,363</t>
  </si>
  <si>
    <t>±857</t>
  </si>
  <si>
    <t>13.0%</t>
  </si>
  <si>
    <t>14,455</t>
  </si>
  <si>
    <t>±963</t>
  </si>
  <si>
    <t>$50,000 to $99,999</t>
  </si>
  <si>
    <t>7,708</t>
  </si>
  <si>
    <t>±819</t>
  </si>
  <si>
    <t>16.9%</t>
  </si>
  <si>
    <t>25,515</t>
  </si>
  <si>
    <t>±1,250</t>
  </si>
  <si>
    <t>40,405</t>
  </si>
  <si>
    <t>±1,611</t>
  </si>
  <si>
    <t>34.2%</t>
  </si>
  <si>
    <t>14,471</t>
  </si>
  <si>
    <t>±880</t>
  </si>
  <si>
    <t>$100,000 to $149,999</t>
  </si>
  <si>
    <t>7,770</t>
  </si>
  <si>
    <t>±637</t>
  </si>
  <si>
    <t>31,042</t>
  </si>
  <si>
    <t>±1,254</t>
  </si>
  <si>
    <t>15.8%</t>
  </si>
  <si>
    <t>19,678</t>
  </si>
  <si>
    <t>±1,179</t>
  </si>
  <si>
    <t>16.6%</t>
  </si>
  <si>
    <t>39,984</t>
  </si>
  <si>
    <t>±1,443</t>
  </si>
  <si>
    <t>$150,000 to $199,999</t>
  </si>
  <si>
    <t>8,098</t>
  </si>
  <si>
    <t>±773</t>
  </si>
  <si>
    <t>36,723</t>
  </si>
  <si>
    <t>±1,451</t>
  </si>
  <si>
    <t>14,225</t>
  </si>
  <si>
    <t>±1,061</t>
  </si>
  <si>
    <t>66,437</t>
  </si>
  <si>
    <t>15.9%</t>
  </si>
  <si>
    <t>$200,000 to $299,999</t>
  </si>
  <si>
    <t>7,828</t>
  </si>
  <si>
    <t>±712</t>
  </si>
  <si>
    <t>17.2%</t>
  </si>
  <si>
    <t>52,076</t>
  </si>
  <si>
    <t>±2,030</t>
  </si>
  <si>
    <t>26.5%</t>
  </si>
  <si>
    <t>13,932</t>
  </si>
  <si>
    <t>±983</t>
  </si>
  <si>
    <t>11.8%</t>
  </si>
  <si>
    <t>131,614</t>
  </si>
  <si>
    <t>±2,619</t>
  </si>
  <si>
    <t>$300,000 to $499,999</t>
  </si>
  <si>
    <t>7,598</t>
  </si>
  <si>
    <t>16.7%</t>
  </si>
  <si>
    <t>27,019</t>
  </si>
  <si>
    <t>±1,351</t>
  </si>
  <si>
    <t>13.7%</t>
  </si>
  <si>
    <t>8,661</t>
  </si>
  <si>
    <t>111,988</t>
  </si>
  <si>
    <t>±2,026</t>
  </si>
  <si>
    <t>26.7%</t>
  </si>
  <si>
    <t>$500,000 to $999,999</t>
  </si>
  <si>
    <t>3,227</t>
  </si>
  <si>
    <t>±486</t>
  </si>
  <si>
    <t>8,070</t>
  </si>
  <si>
    <t>±632</t>
  </si>
  <si>
    <t>4,468</t>
  </si>
  <si>
    <t>3.8%</t>
  </si>
  <si>
    <t>34,701</t>
  </si>
  <si>
    <t>±1,304</t>
  </si>
  <si>
    <t>8.3%</t>
  </si>
  <si>
    <t>$1,000,000 or more</t>
  </si>
  <si>
    <t>632</t>
  </si>
  <si>
    <t>±143</t>
  </si>
  <si>
    <t>2,866</t>
  </si>
  <si>
    <t>±472</t>
  </si>
  <si>
    <t>1,503</t>
  </si>
  <si>
    <t>±417</t>
  </si>
  <si>
    <t>5,310</t>
  </si>
  <si>
    <t>±519</t>
  </si>
  <si>
    <t>Median (dollars)</t>
  </si>
  <si>
    <t>172,500</t>
  </si>
  <si>
    <t>±4,137</t>
  </si>
  <si>
    <t>187,700</t>
  </si>
  <si>
    <t>±2,582</t>
  </si>
  <si>
    <t>107,100</t>
  </si>
  <si>
    <t>±2,803</t>
  </si>
  <si>
    <t>253,800</t>
  </si>
  <si>
    <t>±1,731</t>
  </si>
  <si>
    <t>MORTGAGE STATUS</t>
  </si>
  <si>
    <t>Housing units with a mortgage</t>
  </si>
  <si>
    <t>29,594</t>
  </si>
  <si>
    <t>64.9%</t>
  </si>
  <si>
    <t>±2.0</t>
  </si>
  <si>
    <t>129,679</t>
  </si>
  <si>
    <t>±2,781</t>
  </si>
  <si>
    <t>65.9%</t>
  </si>
  <si>
    <t>71,321</t>
  </si>
  <si>
    <t>±2,253</t>
  </si>
  <si>
    <t>60.3%</t>
  </si>
  <si>
    <t>302,186</t>
  </si>
  <si>
    <t>±3,524</t>
  </si>
  <si>
    <t>72.1%</t>
  </si>
  <si>
    <t>Housing units without a mortgage</t>
  </si>
  <si>
    <t>16,031</t>
  </si>
  <si>
    <t>±989</t>
  </si>
  <si>
    <t>35.1%</t>
  </si>
  <si>
    <t>66,970</t>
  </si>
  <si>
    <t>±1,964</t>
  </si>
  <si>
    <t>34.1%</t>
  </si>
  <si>
    <t>46,914</t>
  </si>
  <si>
    <t>±1,614</t>
  </si>
  <si>
    <t>116,774</t>
  </si>
  <si>
    <t>±2,261</t>
  </si>
  <si>
    <t>27.9%</t>
  </si>
  <si>
    <t>SELECTED MONTHLY OWNER COSTS (SMOC)</t>
  </si>
  <si>
    <t>Less than $500</t>
  </si>
  <si>
    <t>541</t>
  </si>
  <si>
    <t>±194</t>
  </si>
  <si>
    <t>1,671</t>
  </si>
  <si>
    <t>±348</t>
  </si>
  <si>
    <t>1,189</t>
  </si>
  <si>
    <t>±267</t>
  </si>
  <si>
    <t>1,855</t>
  </si>
  <si>
    <t>±325</t>
  </si>
  <si>
    <t>$500 to $999</t>
  </si>
  <si>
    <t>7,498</t>
  </si>
  <si>
    <t>±779</t>
  </si>
  <si>
    <t>25.3%</t>
  </si>
  <si>
    <t>±2.1</t>
  </si>
  <si>
    <t>27,237</t>
  </si>
  <si>
    <t>21.0%</t>
  </si>
  <si>
    <t>21,800</t>
  </si>
  <si>
    <t>±1,305</t>
  </si>
  <si>
    <t>30.6%</t>
  </si>
  <si>
    <t>27,144</t>
  </si>
  <si>
    <t>±1,338</t>
  </si>
  <si>
    <t>9.0%</t>
  </si>
  <si>
    <t>$1,000 to $1,499</t>
  </si>
  <si>
    <t>9,294</t>
  </si>
  <si>
    <t>±730</t>
  </si>
  <si>
    <t>44,934</t>
  </si>
  <si>
    <t>±2,019</t>
  </si>
  <si>
    <t>34.7%</t>
  </si>
  <si>
    <t>26,464</t>
  </si>
  <si>
    <t>±1,480</t>
  </si>
  <si>
    <t>37.1%</t>
  </si>
  <si>
    <t>80,950</t>
  </si>
  <si>
    <t>±2,316</t>
  </si>
  <si>
    <t>26.8%</t>
  </si>
  <si>
    <t>$1,500 to $1,999</t>
  </si>
  <si>
    <t>5,120</t>
  </si>
  <si>
    <t>±500</t>
  </si>
  <si>
    <t>30,776</t>
  </si>
  <si>
    <t>±1,722</t>
  </si>
  <si>
    <t>23.7%</t>
  </si>
  <si>
    <t>11,016</t>
  </si>
  <si>
    <t>±749</t>
  </si>
  <si>
    <t>87,725</t>
  </si>
  <si>
    <t>±2,319</t>
  </si>
  <si>
    <t>29.0%</t>
  </si>
  <si>
    <t>$2,000 to $2,499</t>
  </si>
  <si>
    <t>3,019</t>
  </si>
  <si>
    <t>±463</t>
  </si>
  <si>
    <t>10.2%</t>
  </si>
  <si>
    <t>12,928</t>
  </si>
  <si>
    <t>±1,051</t>
  </si>
  <si>
    <t>5,125</t>
  </si>
  <si>
    <t>±823</t>
  </si>
  <si>
    <t>7.2%</t>
  </si>
  <si>
    <t>52,919</t>
  </si>
  <si>
    <t>±1,744</t>
  </si>
  <si>
    <t>17.5%</t>
  </si>
  <si>
    <t>$2,500 to $2,999</t>
  </si>
  <si>
    <t>1,771</t>
  </si>
  <si>
    <t>±314</t>
  </si>
  <si>
    <t>6.0%</t>
  </si>
  <si>
    <t>6,013</t>
  </si>
  <si>
    <t>±676</t>
  </si>
  <si>
    <t>2,171</t>
  </si>
  <si>
    <t>±372</t>
  </si>
  <si>
    <t>3.0%</t>
  </si>
  <si>
    <t>26,955</t>
  </si>
  <si>
    <t>±1,277</t>
  </si>
  <si>
    <t>8.9%</t>
  </si>
  <si>
    <t>$3,000 or more</t>
  </si>
  <si>
    <t>2,351</t>
  </si>
  <si>
    <t>±419</t>
  </si>
  <si>
    <t>7.9%</t>
  </si>
  <si>
    <t>6,120</t>
  </si>
  <si>
    <t>±627</t>
  </si>
  <si>
    <t>3,556</t>
  </si>
  <si>
    <t>24,638</t>
  </si>
  <si>
    <t>±1,054</t>
  </si>
  <si>
    <t>1,350</t>
  </si>
  <si>
    <t>±33</t>
  </si>
  <si>
    <t>1,396</t>
  </si>
  <si>
    <t>±18</t>
  </si>
  <si>
    <t>1,206</t>
  </si>
  <si>
    <t>±14</t>
  </si>
  <si>
    <t>1,717</t>
  </si>
  <si>
    <t>±12</t>
  </si>
  <si>
    <t>Less than $250</t>
  </si>
  <si>
    <t>1,651</t>
  </si>
  <si>
    <t>±379</t>
  </si>
  <si>
    <t>±2.3</t>
  </si>
  <si>
    <t>8,851</t>
  </si>
  <si>
    <t>±940</t>
  </si>
  <si>
    <t>13.2%</t>
  </si>
  <si>
    <t>5,886</t>
  </si>
  <si>
    <t>±729</t>
  </si>
  <si>
    <t>7,116</t>
  </si>
  <si>
    <t>±658</t>
  </si>
  <si>
    <t>$250 to $399</t>
  </si>
  <si>
    <t>3,777</t>
  </si>
  <si>
    <t>±520</t>
  </si>
  <si>
    <t>23.6%</t>
  </si>
  <si>
    <t>±3.2</t>
  </si>
  <si>
    <t>18,783</t>
  </si>
  <si>
    <t>±1,389</t>
  </si>
  <si>
    <t>28.0%</t>
  </si>
  <si>
    <t>±1.8</t>
  </si>
  <si>
    <t>13,853</t>
  </si>
  <si>
    <t>±1,001</t>
  </si>
  <si>
    <t>29.5%</t>
  </si>
  <si>
    <t>20,393</t>
  </si>
  <si>
    <t>±1,045</t>
  </si>
  <si>
    <t>$400 to $599</t>
  </si>
  <si>
    <t>5,447</t>
  </si>
  <si>
    <t>±812</t>
  </si>
  <si>
    <t>±4.1</t>
  </si>
  <si>
    <t>20,303</t>
  </si>
  <si>
    <t>±1,203</t>
  </si>
  <si>
    <t>30.3%</t>
  </si>
  <si>
    <t>14,315</t>
  </si>
  <si>
    <t>±854</t>
  </si>
  <si>
    <t>30.5%</t>
  </si>
  <si>
    <t>41,796</t>
  </si>
  <si>
    <t>±1,466</t>
  </si>
  <si>
    <t>35.8%</t>
  </si>
  <si>
    <t>$600 to $799</t>
  </si>
  <si>
    <t>2,539</t>
  </si>
  <si>
    <t>±376</t>
  </si>
  <si>
    <t>10,479</t>
  </si>
  <si>
    <t>±852</t>
  </si>
  <si>
    <t>6,682</t>
  </si>
  <si>
    <t>±552</t>
  </si>
  <si>
    <t>26,390</t>
  </si>
  <si>
    <t>±1,372</t>
  </si>
  <si>
    <t>22.6%</t>
  </si>
  <si>
    <t>$800 to $999</t>
  </si>
  <si>
    <t>1,344</t>
  </si>
  <si>
    <t>±280</t>
  </si>
  <si>
    <t>3,893</t>
  </si>
  <si>
    <t>±454</t>
  </si>
  <si>
    <t>5.8%</t>
  </si>
  <si>
    <t>2,362</t>
  </si>
  <si>
    <t>±327</t>
  </si>
  <si>
    <t>11,561</t>
  </si>
  <si>
    <t>±765</t>
  </si>
  <si>
    <t>$1,000 or more</t>
  </si>
  <si>
    <t>1,273</t>
  </si>
  <si>
    <t>±248</t>
  </si>
  <si>
    <t>4,661</t>
  </si>
  <si>
    <t>±624</t>
  </si>
  <si>
    <t>3,816</t>
  </si>
  <si>
    <t>±562</t>
  </si>
  <si>
    <t>9,518</t>
  </si>
  <si>
    <t>±582</t>
  </si>
  <si>
    <t>483</t>
  </si>
  <si>
    <t>±17</t>
  </si>
  <si>
    <t>453</t>
  </si>
  <si>
    <t>±10</t>
  </si>
  <si>
    <t>446</t>
  </si>
  <si>
    <t>±8</t>
  </si>
  <si>
    <t>548</t>
  </si>
  <si>
    <t>±6</t>
  </si>
  <si>
    <t>SELECTED MONTHLY OWNER COSTS AS A PERCENTAGE OF HOUSEHOLD INCOME (SMOCAPI)</t>
  </si>
  <si>
    <t>Housing units with a mortgage (excluding units where SMOCAPI cannot be computed)</t>
  </si>
  <si>
    <t>29,285</t>
  </si>
  <si>
    <t>±1,332</t>
  </si>
  <si>
    <t>128,777</t>
  </si>
  <si>
    <t>±2,752</t>
  </si>
  <si>
    <t>70,809</t>
  </si>
  <si>
    <t>±2,269</t>
  </si>
  <si>
    <t>300,882</t>
  </si>
  <si>
    <t>±3,541</t>
  </si>
  <si>
    <t>Less than 20.0 percent</t>
  </si>
  <si>
    <t>15,156</t>
  </si>
  <si>
    <t>±921</t>
  </si>
  <si>
    <t>51.8%</t>
  </si>
  <si>
    <t>±2.5</t>
  </si>
  <si>
    <t>58,538</t>
  </si>
  <si>
    <t>±2,036</t>
  </si>
  <si>
    <t>45.5%</t>
  </si>
  <si>
    <t>31,859</t>
  </si>
  <si>
    <t>45.0%</t>
  </si>
  <si>
    <t>122,810</t>
  </si>
  <si>
    <t>40.8%</t>
  </si>
  <si>
    <t>20.0 to 24.9 percent</t>
  </si>
  <si>
    <t>4,570</t>
  </si>
  <si>
    <t>±545</t>
  </si>
  <si>
    <t>19,913</t>
  </si>
  <si>
    <t>±1,370</t>
  </si>
  <si>
    <t>11,108</t>
  </si>
  <si>
    <t>±1,050</t>
  </si>
  <si>
    <t>15.7%</t>
  </si>
  <si>
    <t>53,392</t>
  </si>
  <si>
    <t>±1,598</t>
  </si>
  <si>
    <t>25.0 to 29.9 percent</t>
  </si>
  <si>
    <t>2,398</t>
  </si>
  <si>
    <t>±408</t>
  </si>
  <si>
    <t>14,341</t>
  </si>
  <si>
    <t>±1,159</t>
  </si>
  <si>
    <t>7,043</t>
  </si>
  <si>
    <t>±736</t>
  </si>
  <si>
    <t>36,047</t>
  </si>
  <si>
    <t>±1,607</t>
  </si>
  <si>
    <t>30.0 to 34.9 percent</t>
  </si>
  <si>
    <t>1,500</t>
  </si>
  <si>
    <t>±330</t>
  </si>
  <si>
    <t>8,669</t>
  </si>
  <si>
    <t>±899</t>
  </si>
  <si>
    <t>4,502</t>
  </si>
  <si>
    <t>±648</t>
  </si>
  <si>
    <t>23,648</t>
  </si>
  <si>
    <t>±1,294</t>
  </si>
  <si>
    <t>35.0 percent or more</t>
  </si>
  <si>
    <t>5,661</t>
  </si>
  <si>
    <t>27,316</t>
  </si>
  <si>
    <t>±1,724</t>
  </si>
  <si>
    <t>21.2%</t>
  </si>
  <si>
    <t>16,297</t>
  </si>
  <si>
    <t>±1,128</t>
  </si>
  <si>
    <t>23.0%</t>
  </si>
  <si>
    <t>64,985</t>
  </si>
  <si>
    <t>±1,909</t>
  </si>
  <si>
    <t>21.6%</t>
  </si>
  <si>
    <t>Not computed</t>
  </si>
  <si>
    <t>309</t>
  </si>
  <si>
    <t>±164</t>
  </si>
  <si>
    <t>902</t>
  </si>
  <si>
    <t>±260</t>
  </si>
  <si>
    <t>512</t>
  </si>
  <si>
    <t>±223</t>
  </si>
  <si>
    <t>1,304</t>
  </si>
  <si>
    <t>±229</t>
  </si>
  <si>
    <t>Housing unit without a mortgage (excluding units where SMOCAPI cannot be computed)</t>
  </si>
  <si>
    <t>15,815</t>
  </si>
  <si>
    <t>±977</t>
  </si>
  <si>
    <t>65,567</t>
  </si>
  <si>
    <t>±1,980</t>
  </si>
  <si>
    <t>45,734</t>
  </si>
  <si>
    <t>115,731</t>
  </si>
  <si>
    <t>±2,267</t>
  </si>
  <si>
    <t>Less than 10.0 percent</t>
  </si>
  <si>
    <t>8,028</t>
  </si>
  <si>
    <t>±575</t>
  </si>
  <si>
    <t>50.8%</t>
  </si>
  <si>
    <t>32,707</t>
  </si>
  <si>
    <t>±1,457</t>
  </si>
  <si>
    <t>49.9%</t>
  </si>
  <si>
    <t>19,994</t>
  </si>
  <si>
    <t>±1,037</t>
  </si>
  <si>
    <t>43.7%</t>
  </si>
  <si>
    <t>55,132</t>
  </si>
  <si>
    <t>±1,687</t>
  </si>
  <si>
    <t>47.6%</t>
  </si>
  <si>
    <t>10.0 to 14.9 percent</t>
  </si>
  <si>
    <t>2,594</t>
  </si>
  <si>
    <t>±369</t>
  </si>
  <si>
    <t>16.4%</t>
  </si>
  <si>
    <t>11,465</t>
  </si>
  <si>
    <t>±799</t>
  </si>
  <si>
    <t>9,319</t>
  </si>
  <si>
    <t>±612</t>
  </si>
  <si>
    <t>20.4%</t>
  </si>
  <si>
    <t>23,419</t>
  </si>
  <si>
    <t>±1,158</t>
  </si>
  <si>
    <t>20.2%</t>
  </si>
  <si>
    <t>15.0 to 19.9 percent</t>
  </si>
  <si>
    <t>1,556</t>
  </si>
  <si>
    <t>±368</t>
  </si>
  <si>
    <t>6,501</t>
  </si>
  <si>
    <t>±787</t>
  </si>
  <si>
    <t>5,116</t>
  </si>
  <si>
    <t>±564</t>
  </si>
  <si>
    <t>11.2%</t>
  </si>
  <si>
    <t>11,777</t>
  </si>
  <si>
    <t>±691</t>
  </si>
  <si>
    <t>1,479</t>
  </si>
  <si>
    <t>±522</t>
  </si>
  <si>
    <t>±3.0</t>
  </si>
  <si>
    <t>3,999</t>
  </si>
  <si>
    <t>±509</t>
  </si>
  <si>
    <t>3,049</t>
  </si>
  <si>
    <t>±387</t>
  </si>
  <si>
    <t>8,351</t>
  </si>
  <si>
    <t>450</t>
  </si>
  <si>
    <t>±125</t>
  </si>
  <si>
    <t>2,872</t>
  </si>
  <si>
    <t>2,240</t>
  </si>
  <si>
    <t>±323</t>
  </si>
  <si>
    <t>4,397</t>
  </si>
  <si>
    <t>291</t>
  </si>
  <si>
    <t>±100</t>
  </si>
  <si>
    <t>1,297</t>
  </si>
  <si>
    <t>±200</t>
  </si>
  <si>
    <t>1,140</t>
  </si>
  <si>
    <t>2,860</t>
  </si>
  <si>
    <t>±296</t>
  </si>
  <si>
    <t>1,417</t>
  </si>
  <si>
    <t>6,726</t>
  </si>
  <si>
    <t>±796</t>
  </si>
  <si>
    <t>4,876</t>
  </si>
  <si>
    <t>10.7%</t>
  </si>
  <si>
    <t>9,795</t>
  </si>
  <si>
    <t>±617</t>
  </si>
  <si>
    <t>216</t>
  </si>
  <si>
    <t>±98</t>
  </si>
  <si>
    <t>1,403</t>
  </si>
  <si>
    <t>1,180</t>
  </si>
  <si>
    <t>±324</t>
  </si>
  <si>
    <t>1,043</t>
  </si>
  <si>
    <t>±193</t>
  </si>
  <si>
    <t>GROSS RENT</t>
  </si>
  <si>
    <t>Occupied units paying rent</t>
  </si>
  <si>
    <t>36,699</t>
  </si>
  <si>
    <t>±1,406</t>
  </si>
  <si>
    <t>146,673</t>
  </si>
  <si>
    <t>±2,681</t>
  </si>
  <si>
    <t>132,445</t>
  </si>
  <si>
    <t>±2,350</t>
  </si>
  <si>
    <t>244,527</t>
  </si>
  <si>
    <t>±3,119</t>
  </si>
  <si>
    <t>2,994</t>
  </si>
  <si>
    <t>±431</t>
  </si>
  <si>
    <t>8,815</t>
  </si>
  <si>
    <t>±718</t>
  </si>
  <si>
    <t>9,585</t>
  </si>
  <si>
    <t>±721</t>
  </si>
  <si>
    <t>16,192</t>
  </si>
  <si>
    <t>20,217</t>
  </si>
  <si>
    <t>±1,167</t>
  </si>
  <si>
    <t>55.1%</t>
  </si>
  <si>
    <t>50,605</t>
  </si>
  <si>
    <t>±2,146</t>
  </si>
  <si>
    <t>34.5%</t>
  </si>
  <si>
    <t>71,264</t>
  </si>
  <si>
    <t>±2,345</t>
  </si>
  <si>
    <t>61,725</t>
  </si>
  <si>
    <t>±2,092</t>
  </si>
  <si>
    <t>25.2%</t>
  </si>
  <si>
    <t>10,924</t>
  </si>
  <si>
    <t>±1,018</t>
  </si>
  <si>
    <t>29.8%</t>
  </si>
  <si>
    <t>63,659</t>
  </si>
  <si>
    <t>43.4%</t>
  </si>
  <si>
    <t>42,105</t>
  </si>
  <si>
    <t>±2,137</t>
  </si>
  <si>
    <t>31.8%</t>
  </si>
  <si>
    <t>102,600</t>
  </si>
  <si>
    <t>42.0%</t>
  </si>
  <si>
    <t>1,701</t>
  </si>
  <si>
    <t>18,740</t>
  </si>
  <si>
    <t>±1,618</t>
  </si>
  <si>
    <t>12.8%</t>
  </si>
  <si>
    <t>7,786</t>
  </si>
  <si>
    <t>±768</t>
  </si>
  <si>
    <t>5.9%</t>
  </si>
  <si>
    <t>45,882</t>
  </si>
  <si>
    <t>±1,839</t>
  </si>
  <si>
    <t>18.8%</t>
  </si>
  <si>
    <t>402</t>
  </si>
  <si>
    <t>±135</t>
  </si>
  <si>
    <t>3,778</t>
  </si>
  <si>
    <t>±599</t>
  </si>
  <si>
    <t>2.6%</t>
  </si>
  <si>
    <t>1,174</t>
  </si>
  <si>
    <t>±338</t>
  </si>
  <si>
    <t>12,089</t>
  </si>
  <si>
    <t>±855</t>
  </si>
  <si>
    <t>227</t>
  </si>
  <si>
    <t>±102</t>
  </si>
  <si>
    <t>±191</t>
  </si>
  <si>
    <t>±103</t>
  </si>
  <si>
    <t>3,555</t>
  </si>
  <si>
    <t>±533</t>
  </si>
  <si>
    <t>234</t>
  </si>
  <si>
    <t>±101</t>
  </si>
  <si>
    <t>623</t>
  </si>
  <si>
    <t>±210</t>
  </si>
  <si>
    <t>269</t>
  </si>
  <si>
    <t>±117</t>
  </si>
  <si>
    <t>2,484</t>
  </si>
  <si>
    <t>±334</t>
  </si>
  <si>
    <t>889</t>
  </si>
  <si>
    <t>1,089</t>
  </si>
  <si>
    <t>915</t>
  </si>
  <si>
    <t>1,187</t>
  </si>
  <si>
    <t>No rent paid</t>
  </si>
  <si>
    <t>1,201</t>
  </si>
  <si>
    <t>±303</t>
  </si>
  <si>
    <t>5,487</t>
  </si>
  <si>
    <t>5,076</t>
  </si>
  <si>
    <t>±656</t>
  </si>
  <si>
    <t>8,566</t>
  </si>
  <si>
    <t>±623</t>
  </si>
  <si>
    <t>GROSS RENT AS A PERCENTAGE OF HOUSEHOLD INCOME (GRAPI)</t>
  </si>
  <si>
    <t>Occupied units paying rent (excluding units where GRAPI cannot be computed)</t>
  </si>
  <si>
    <t>35,188</t>
  </si>
  <si>
    <t>±1,371</t>
  </si>
  <si>
    <t>142,159</t>
  </si>
  <si>
    <t>±2,644</t>
  </si>
  <si>
    <t>126,491</t>
  </si>
  <si>
    <t>±2,384</t>
  </si>
  <si>
    <t>239,133</t>
  </si>
  <si>
    <t>±3,073</t>
  </si>
  <si>
    <t>Less than 15.0 percent</t>
  </si>
  <si>
    <t>5,155</t>
  </si>
  <si>
    <t>±643</t>
  </si>
  <si>
    <t>14,114</t>
  </si>
  <si>
    <t>±1,145</t>
  </si>
  <si>
    <t>12,551</t>
  </si>
  <si>
    <t>24,663</t>
  </si>
  <si>
    <t>±1,378</t>
  </si>
  <si>
    <t>5,192</t>
  </si>
  <si>
    <t>±739</t>
  </si>
  <si>
    <t>14.8%</t>
  </si>
  <si>
    <t>±1.9</t>
  </si>
  <si>
    <t>18,158</t>
  </si>
  <si>
    <t>±1,152</t>
  </si>
  <si>
    <t>13,966</t>
  </si>
  <si>
    <t>±1,080</t>
  </si>
  <si>
    <t>29,351</t>
  </si>
  <si>
    <t>±1,226</t>
  </si>
  <si>
    <t>12.3%</t>
  </si>
  <si>
    <t>4,534</t>
  </si>
  <si>
    <t>±686</t>
  </si>
  <si>
    <t>12.9%</t>
  </si>
  <si>
    <t>19,901</t>
  </si>
  <si>
    <t>±1,391</t>
  </si>
  <si>
    <t>14.0%</t>
  </si>
  <si>
    <t>14,905</t>
  </si>
  <si>
    <t>±1,155</t>
  </si>
  <si>
    <t>33,543</t>
  </si>
  <si>
    <t>±1,405</t>
  </si>
  <si>
    <t>3,983</t>
  </si>
  <si>
    <t>17,889</t>
  </si>
  <si>
    <t>±1,562</t>
  </si>
  <si>
    <t>15,029</t>
  </si>
  <si>
    <t>30,426</t>
  </si>
  <si>
    <t>±1,342</t>
  </si>
  <si>
    <t>3,373</t>
  </si>
  <si>
    <t>±568</t>
  </si>
  <si>
    <t>9.6%</t>
  </si>
  <si>
    <t>16,303</t>
  </si>
  <si>
    <t>±1,413</t>
  </si>
  <si>
    <t>11.5%</t>
  </si>
  <si>
    <t>11,716</t>
  </si>
  <si>
    <t>±1,198</t>
  </si>
  <si>
    <t>9.3%</t>
  </si>
  <si>
    <t>23,883</t>
  </si>
  <si>
    <t>±1,276</t>
  </si>
  <si>
    <t>12,951</t>
  </si>
  <si>
    <t>±2.6</t>
  </si>
  <si>
    <t>55,794</t>
  </si>
  <si>
    <t>±2,067</t>
  </si>
  <si>
    <t>39.2%</t>
  </si>
  <si>
    <t>58,324</t>
  </si>
  <si>
    <t>±2,130</t>
  </si>
  <si>
    <t>46.1%</t>
  </si>
  <si>
    <t>97,267</t>
  </si>
  <si>
    <t>±2,466</t>
  </si>
  <si>
    <t>40.7%</t>
  </si>
  <si>
    <t>2,712</t>
  </si>
  <si>
    <t>10,001</t>
  </si>
  <si>
    <t>±1,238</t>
  </si>
  <si>
    <t>11,030</t>
  </si>
  <si>
    <t>±896</t>
  </si>
  <si>
    <t>13,960</t>
  </si>
  <si>
    <t>±884</t>
  </si>
  <si>
    <t>Virginia Beach-Chesapeake-Norfolk, VA-NC Metro Area</t>
  </si>
  <si>
    <t>99,014</t>
  </si>
  <si>
    <t>±2,978</t>
  </si>
  <si>
    <t>449,941</t>
  </si>
  <si>
    <t>±1,719</t>
  </si>
  <si>
    <t>291,759</t>
  </si>
  <si>
    <t>±3,489</t>
  </si>
  <si>
    <t>774,453</t>
  </si>
  <si>
    <t>±2,344</t>
  </si>
  <si>
    <t>88,738</t>
  </si>
  <si>
    <t>±3,214</t>
  </si>
  <si>
    <t>413,620</t>
  </si>
  <si>
    <t>±4,742</t>
  </si>
  <si>
    <t>91.9%</t>
  </si>
  <si>
    <t>250,830</t>
  </si>
  <si>
    <t>±4,397</t>
  </si>
  <si>
    <t>86.0%</t>
  </si>
  <si>
    <t>717,911</t>
  </si>
  <si>
    <t>±5,455</t>
  </si>
  <si>
    <t>92.7%</t>
  </si>
  <si>
    <t>10,276</t>
  </si>
  <si>
    <t>±2,079</t>
  </si>
  <si>
    <t>36,321</t>
  </si>
  <si>
    <t>±4,169</t>
  </si>
  <si>
    <t>40,929</t>
  </si>
  <si>
    <t>±3,418</t>
  </si>
  <si>
    <t>56,542</t>
  </si>
  <si>
    <t>±5,066</t>
  </si>
  <si>
    <t>1.1</t>
  </si>
  <si>
    <t>0.5</t>
  </si>
  <si>
    <t>1.0</t>
  </si>
  <si>
    <t>7.3</t>
  </si>
  <si>
    <t>11.1</t>
  </si>
  <si>
    <t>10.1</t>
  </si>
  <si>
    <t>60,546</t>
  </si>
  <si>
    <t>±3,120</t>
  </si>
  <si>
    <t>±2.9</t>
  </si>
  <si>
    <t>264,174</t>
  </si>
  <si>
    <t>±6,217</t>
  </si>
  <si>
    <t>58.7%</t>
  </si>
  <si>
    <t>174,213</t>
  </si>
  <si>
    <t>±5,001</t>
  </si>
  <si>
    <t>59.7%</t>
  </si>
  <si>
    <t>460,510</t>
  </si>
  <si>
    <t>±7,088</t>
  </si>
  <si>
    <t>59.5%</t>
  </si>
  <si>
    <t>1,441</t>
  </si>
  <si>
    <t>±702</t>
  </si>
  <si>
    <t>26,068</t>
  </si>
  <si>
    <t>±3,381</t>
  </si>
  <si>
    <t>13,411</t>
  </si>
  <si>
    <t>±2,368</t>
  </si>
  <si>
    <t>93,208</t>
  </si>
  <si>
    <t>±4,866</t>
  </si>
  <si>
    <t>1,940</t>
  </si>
  <si>
    <t>±813</t>
  </si>
  <si>
    <t>6,506</t>
  </si>
  <si>
    <t>±1,868</t>
  </si>
  <si>
    <t>6,311</t>
  </si>
  <si>
    <t>±1,494</t>
  </si>
  <si>
    <t>16,844</t>
  </si>
  <si>
    <t>±2,747</t>
  </si>
  <si>
    <t>5,854</t>
  </si>
  <si>
    <t>±1,919</t>
  </si>
  <si>
    <t>21,354</t>
  </si>
  <si>
    <t>±3,096</t>
  </si>
  <si>
    <t>17,520</t>
  </si>
  <si>
    <t>±2,599</t>
  </si>
  <si>
    <t>37,209</t>
  </si>
  <si>
    <t>±3,616</t>
  </si>
  <si>
    <t>8,451</t>
  </si>
  <si>
    <t>±2,170</t>
  </si>
  <si>
    <t>±2.2</t>
  </si>
  <si>
    <t>20,160</t>
  </si>
  <si>
    <t>±3,338</t>
  </si>
  <si>
    <t>4.5%</t>
  </si>
  <si>
    <t>24,438</t>
  </si>
  <si>
    <t>±3,111</t>
  </si>
  <si>
    <t>53,063</t>
  </si>
  <si>
    <t>±4,837</t>
  </si>
  <si>
    <t>7,938</t>
  </si>
  <si>
    <t>±2,032</t>
  </si>
  <si>
    <t>8.0%</t>
  </si>
  <si>
    <t>34,964</t>
  </si>
  <si>
    <t>±5,600</t>
  </si>
  <si>
    <t>21,659</t>
  </si>
  <si>
    <t>±3,317</t>
  </si>
  <si>
    <t>7.4%</t>
  </si>
  <si>
    <t>36,336</t>
  </si>
  <si>
    <t>±3,882</t>
  </si>
  <si>
    <t>10,607</t>
  </si>
  <si>
    <t>±1,826</t>
  </si>
  <si>
    <t>60,947</t>
  </si>
  <si>
    <t>±6,382</t>
  </si>
  <si>
    <t>30,583</t>
  </si>
  <si>
    <t>±3,449</t>
  </si>
  <si>
    <t>57,764</t>
  </si>
  <si>
    <t>±4,796</t>
  </si>
  <si>
    <t>7.5%</t>
  </si>
  <si>
    <t>2,237</t>
  </si>
  <si>
    <t>±863</t>
  </si>
  <si>
    <t>15,393</t>
  </si>
  <si>
    <t>±2,424</t>
  </si>
  <si>
    <t>3,624</t>
  </si>
  <si>
    <t>±1,207</t>
  </si>
  <si>
    <t>19,023</t>
  </si>
  <si>
    <t>±2,329</t>
  </si>
  <si>
    <t>±213</t>
  </si>
  <si>
    <t>375</t>
  </si>
  <si>
    <t>±230</t>
  </si>
  <si>
    <t>496</t>
  </si>
  <si>
    <t>Built 2020 or later</t>
  </si>
  <si>
    <t>±1,058</t>
  </si>
  <si>
    <t>39,720</t>
  </si>
  <si>
    <t>±5,026</t>
  </si>
  <si>
    <t>3,936</t>
  </si>
  <si>
    <t>20,187</t>
  </si>
  <si>
    <t>±2,778</t>
  </si>
  <si>
    <t>Built 2010 to 2019</t>
  </si>
  <si>
    <t>13,117</t>
  </si>
  <si>
    <t>±2,686</t>
  </si>
  <si>
    <t>55,313</t>
  </si>
  <si>
    <t>±5,836</t>
  </si>
  <si>
    <t>13,814</t>
  </si>
  <si>
    <t>±2,830</t>
  </si>
  <si>
    <t>78,087</t>
  </si>
  <si>
    <t>±4,686</t>
  </si>
  <si>
    <t>7,361</t>
  </si>
  <si>
    <t>±1,569</t>
  </si>
  <si>
    <t>75,466</t>
  </si>
  <si>
    <t>±4,362</t>
  </si>
  <si>
    <t>16.8%</t>
  </si>
  <si>
    <t>23,079</t>
  </si>
  <si>
    <t>±3,118</t>
  </si>
  <si>
    <t>97,636</t>
  </si>
  <si>
    <t>±5,539</t>
  </si>
  <si>
    <t>11,911</t>
  </si>
  <si>
    <t>±2.4</t>
  </si>
  <si>
    <t>57,027</t>
  </si>
  <si>
    <t>±4,979</t>
  </si>
  <si>
    <t>24,941</t>
  </si>
  <si>
    <t>±3,090</t>
  </si>
  <si>
    <t>101,693</t>
  </si>
  <si>
    <t>±4,779</t>
  </si>
  <si>
    <t>11,515</t>
  </si>
  <si>
    <t>±2,247</t>
  </si>
  <si>
    <t>59,430</t>
  </si>
  <si>
    <t>±5,073</t>
  </si>
  <si>
    <t>39,089</t>
  </si>
  <si>
    <t>±4,074</t>
  </si>
  <si>
    <t>139,526</t>
  </si>
  <si>
    <t>±5,227</t>
  </si>
  <si>
    <t>18.0%</t>
  </si>
  <si>
    <t>15,893</t>
  </si>
  <si>
    <t>16.1%</t>
  </si>
  <si>
    <t>52,532</t>
  </si>
  <si>
    <t>±4,765</t>
  </si>
  <si>
    <t>47,846</t>
  </si>
  <si>
    <t>±4,166</t>
  </si>
  <si>
    <t>102,363</t>
  </si>
  <si>
    <t>±4,482</t>
  </si>
  <si>
    <t>13,842</t>
  </si>
  <si>
    <t>±2,195</t>
  </si>
  <si>
    <t>36,413</t>
  </si>
  <si>
    <t>±4,031</t>
  </si>
  <si>
    <t>46,279</t>
  </si>
  <si>
    <t>±4,418</t>
  </si>
  <si>
    <t>94,092</t>
  </si>
  <si>
    <t>±5,131</t>
  </si>
  <si>
    <t>9,344</t>
  </si>
  <si>
    <t>±1,591</t>
  </si>
  <si>
    <t>38,951</t>
  </si>
  <si>
    <t>±2,848</t>
  </si>
  <si>
    <t>8.7%</t>
  </si>
  <si>
    <t>49,097</t>
  </si>
  <si>
    <t>70,970</t>
  </si>
  <si>
    <t>±4,420</t>
  </si>
  <si>
    <t>4,969</t>
  </si>
  <si>
    <t>±1,259</t>
  </si>
  <si>
    <t>16,861</t>
  </si>
  <si>
    <t>±2,365</t>
  </si>
  <si>
    <t>18,786</t>
  </si>
  <si>
    <t>±2,318</t>
  </si>
  <si>
    <t>30,985</t>
  </si>
  <si>
    <t>±2,649</t>
  </si>
  <si>
    <t>4.0%</t>
  </si>
  <si>
    <t>8,774</t>
  </si>
  <si>
    <t>±1,648</t>
  </si>
  <si>
    <t>18,228</t>
  </si>
  <si>
    <t>±2,478</t>
  </si>
  <si>
    <t>24,892</t>
  </si>
  <si>
    <t>±2,417</t>
  </si>
  <si>
    <t>38,914</t>
  </si>
  <si>
    <t>±2,825</t>
  </si>
  <si>
    <t>1,970</t>
  </si>
  <si>
    <t>±901</t>
  </si>
  <si>
    <t>11,247</t>
  </si>
  <si>
    <t>±2,623</t>
  </si>
  <si>
    <t>7,482</t>
  </si>
  <si>
    <t>±1,870</t>
  </si>
  <si>
    <t>9,462</t>
  </si>
  <si>
    <t>±2,112</t>
  </si>
  <si>
    <t>4,523</t>
  </si>
  <si>
    <t>±1,540</t>
  </si>
  <si>
    <t>±2,564</t>
  </si>
  <si>
    <t>5,029</t>
  </si>
  <si>
    <t>±1,357</t>
  </si>
  <si>
    <t>15,236</t>
  </si>
  <si>
    <t>10,039</t>
  </si>
  <si>
    <t>±2,018</t>
  </si>
  <si>
    <t>42,842</t>
  </si>
  <si>
    <t>±4,869</t>
  </si>
  <si>
    <t>27,614</t>
  </si>
  <si>
    <t>±3,618</t>
  </si>
  <si>
    <t>52,323</t>
  </si>
  <si>
    <t>±4,127</t>
  </si>
  <si>
    <t>17,518</t>
  </si>
  <si>
    <t>±2,673</t>
  </si>
  <si>
    <t>±2.7</t>
  </si>
  <si>
    <t>84,542</t>
  </si>
  <si>
    <t>±6,705</t>
  </si>
  <si>
    <t>48,197</t>
  </si>
  <si>
    <t>±3,749</t>
  </si>
  <si>
    <t>16.5%</t>
  </si>
  <si>
    <t>113,858</t>
  </si>
  <si>
    <t>±6,227</t>
  </si>
  <si>
    <t>19,513</t>
  </si>
  <si>
    <t>±2,691</t>
  </si>
  <si>
    <t>80,514</t>
  </si>
  <si>
    <t>±5,587</t>
  </si>
  <si>
    <t>68,128</t>
  </si>
  <si>
    <t>±4,886</t>
  </si>
  <si>
    <t>23.4%</t>
  </si>
  <si>
    <t>127,996</t>
  </si>
  <si>
    <t>±7,071</t>
  </si>
  <si>
    <t>16,278</t>
  </si>
  <si>
    <t>±2,256</t>
  </si>
  <si>
    <t>87,333</t>
  </si>
  <si>
    <t>±7,079</t>
  </si>
  <si>
    <t>19.4%</t>
  </si>
  <si>
    <t>58,141</t>
  </si>
  <si>
    <t>±4,791</t>
  </si>
  <si>
    <t>133,876</t>
  </si>
  <si>
    <t>±6,100</t>
  </si>
  <si>
    <t>11,127</t>
  </si>
  <si>
    <t>±1,890</t>
  </si>
  <si>
    <t>52,584</t>
  </si>
  <si>
    <t>±4,286</t>
  </si>
  <si>
    <t>32,918</t>
  </si>
  <si>
    <t>±3,335</t>
  </si>
  <si>
    <t>101,764</t>
  </si>
  <si>
    <t>±4,177</t>
  </si>
  <si>
    <t>7,808</t>
  </si>
  <si>
    <t>±1,489</t>
  </si>
  <si>
    <t>41,612</t>
  </si>
  <si>
    <t>±3,734</t>
  </si>
  <si>
    <t>20,190</t>
  </si>
  <si>
    <t>±2,377</t>
  </si>
  <si>
    <t>96,277</t>
  </si>
  <si>
    <t>±5,179</t>
  </si>
  <si>
    <t>12.4%</t>
  </si>
  <si>
    <t>10,238</t>
  </si>
  <si>
    <t>±1,692</t>
  </si>
  <si>
    <t>35,453</t>
  </si>
  <si>
    <t>±3,496</t>
  </si>
  <si>
    <t>24,060</t>
  </si>
  <si>
    <t>±2,876</t>
  </si>
  <si>
    <t>123,661</t>
  </si>
  <si>
    <t>±4,621</t>
  </si>
  <si>
    <t>16.0%</t>
  </si>
  <si>
    <t>5.4</t>
  </si>
  <si>
    <t>2,428</t>
  </si>
  <si>
    <t>±1,014</t>
  </si>
  <si>
    <t>12,320</t>
  </si>
  <si>
    <t>±2,883</t>
  </si>
  <si>
    <t>7,605</t>
  </si>
  <si>
    <t>±1,856</t>
  </si>
  <si>
    <t>11,062</t>
  </si>
  <si>
    <t>±2,081</t>
  </si>
  <si>
    <t>15,809</t>
  </si>
  <si>
    <t>±2,687</t>
  </si>
  <si>
    <t>54,454</t>
  </si>
  <si>
    <t>±5,121</t>
  </si>
  <si>
    <t>33,214</t>
  </si>
  <si>
    <t>±3,386</t>
  </si>
  <si>
    <t>11.4%</t>
  </si>
  <si>
    <t>62,344</t>
  </si>
  <si>
    <t>±4,369</t>
  </si>
  <si>
    <t>22,371</t>
  </si>
  <si>
    <t>±2,855</t>
  </si>
  <si>
    <t>±2.8</t>
  </si>
  <si>
    <t>104,407</t>
  </si>
  <si>
    <t>±6,597</t>
  </si>
  <si>
    <t>23.2%</t>
  </si>
  <si>
    <t>86,109</t>
  </si>
  <si>
    <t>±5,370</t>
  </si>
  <si>
    <t>180,923</t>
  </si>
  <si>
    <t>±7,130</t>
  </si>
  <si>
    <t>40,345</t>
  </si>
  <si>
    <t>±2,981</t>
  </si>
  <si>
    <t>188,890</t>
  </si>
  <si>
    <t>±7,014</t>
  </si>
  <si>
    <t>119,752</t>
  </si>
  <si>
    <t>±5,561</t>
  </si>
  <si>
    <t>41.0%</t>
  </si>
  <si>
    <t>299,869</t>
  </si>
  <si>
    <t>±7,272</t>
  </si>
  <si>
    <t>38.7%</t>
  </si>
  <si>
    <t>14,642</t>
  </si>
  <si>
    <t>±1,973</t>
  </si>
  <si>
    <t>76,571</t>
  </si>
  <si>
    <t>±4,539</t>
  </si>
  <si>
    <t>36,999</t>
  </si>
  <si>
    <t>±3,405</t>
  </si>
  <si>
    <t>171,197</t>
  </si>
  <si>
    <t>±5,499</t>
  </si>
  <si>
    <t>22.1%</t>
  </si>
  <si>
    <t>3,419</t>
  </si>
  <si>
    <t>±939</t>
  </si>
  <si>
    <t>13,299</t>
  </si>
  <si>
    <t>±2,281</t>
  </si>
  <si>
    <t>8,080</t>
  </si>
  <si>
    <t>±1,674</t>
  </si>
  <si>
    <t>49,058</t>
  </si>
  <si>
    <t>±3,847</t>
  </si>
  <si>
    <t>6.3%</t>
  </si>
  <si>
    <t>47,340</t>
  </si>
  <si>
    <t>±3,245</t>
  </si>
  <si>
    <t>53.3%</t>
  </si>
  <si>
    <t>240,209</t>
  </si>
  <si>
    <t>±6,346</t>
  </si>
  <si>
    <t>58.1%</t>
  </si>
  <si>
    <t>111,737</t>
  </si>
  <si>
    <t>±4,092</t>
  </si>
  <si>
    <t>44.5%</t>
  </si>
  <si>
    <t>451,287</t>
  </si>
  <si>
    <t>±7,983</t>
  </si>
  <si>
    <t>62.9%</t>
  </si>
  <si>
    <t>41,398</t>
  </si>
  <si>
    <t>±3,265</t>
  </si>
  <si>
    <t>46.7%</t>
  </si>
  <si>
    <t>173,411</t>
  </si>
  <si>
    <t>±7,223</t>
  </si>
  <si>
    <t>41.9%</t>
  </si>
  <si>
    <t>139,093</t>
  </si>
  <si>
    <t>55.5%</t>
  </si>
  <si>
    <t>266,624</t>
  </si>
  <si>
    <t>±7,499</t>
  </si>
  <si>
    <t>2.43</t>
  </si>
  <si>
    <t>±0.12</t>
  </si>
  <si>
    <t>2.56</t>
  </si>
  <si>
    <t>2.44</t>
  </si>
  <si>
    <t>±0.10</t>
  </si>
  <si>
    <t>2.04</t>
  </si>
  <si>
    <t>±0.14</t>
  </si>
  <si>
    <t>2.16</t>
  </si>
  <si>
    <t>±0.08</t>
  </si>
  <si>
    <t>2.34</t>
  </si>
  <si>
    <t>±0.09</t>
  </si>
  <si>
    <t>2.21</t>
  </si>
  <si>
    <t>Moved in 2023 or later</t>
  </si>
  <si>
    <t>22,605</t>
  </si>
  <si>
    <t>±3,112</t>
  </si>
  <si>
    <t>25.5%</t>
  </si>
  <si>
    <t>±3.3</t>
  </si>
  <si>
    <t>98,942</t>
  </si>
  <si>
    <t>±7,528</t>
  </si>
  <si>
    <t>23.9%</t>
  </si>
  <si>
    <t>58,626</t>
  </si>
  <si>
    <t>±4,442</t>
  </si>
  <si>
    <t>138,019</t>
  </si>
  <si>
    <t>±5,792</t>
  </si>
  <si>
    <t>Moved in 2020 to 2022</t>
  </si>
  <si>
    <t>20,686</t>
  </si>
  <si>
    <t>±2,574</t>
  </si>
  <si>
    <t>23.3%</t>
  </si>
  <si>
    <t>103,960</t>
  </si>
  <si>
    <t>±6,262</t>
  </si>
  <si>
    <t>25.1%</t>
  </si>
  <si>
    <t>59,339</t>
  </si>
  <si>
    <t>±4,759</t>
  </si>
  <si>
    <t>166,296</t>
  </si>
  <si>
    <t>±6,015</t>
  </si>
  <si>
    <t>Moved in 2010 to 2019</t>
  </si>
  <si>
    <t>24,174</t>
  </si>
  <si>
    <t>±2,768</t>
  </si>
  <si>
    <t>107,780</t>
  </si>
  <si>
    <t>±7,361</t>
  </si>
  <si>
    <t>26.1%</t>
  </si>
  <si>
    <t>66,034</t>
  </si>
  <si>
    <t>±4,840</t>
  </si>
  <si>
    <t>26.3%</t>
  </si>
  <si>
    <t>203,414</t>
  </si>
  <si>
    <t>±6,414</t>
  </si>
  <si>
    <t>28.3%</t>
  </si>
  <si>
    <t>9,805</t>
  </si>
  <si>
    <t>±1,806</t>
  </si>
  <si>
    <t>50,686</t>
  </si>
  <si>
    <t>±4,084</t>
  </si>
  <si>
    <t>27,837</t>
  </si>
  <si>
    <t>±2,993</t>
  </si>
  <si>
    <t>88,130</t>
  </si>
  <si>
    <t>±4,194</t>
  </si>
  <si>
    <t>6,684</t>
  </si>
  <si>
    <t>±1,227</t>
  </si>
  <si>
    <t>28,815</t>
  </si>
  <si>
    <t>±2,670</t>
  </si>
  <si>
    <t>18,016</t>
  </si>
  <si>
    <t>±2,185</t>
  </si>
  <si>
    <t>61,185</t>
  </si>
  <si>
    <t>±3,343</t>
  </si>
  <si>
    <t>4,784</t>
  </si>
  <si>
    <t>±1,076</t>
  </si>
  <si>
    <t>5.4%</t>
  </si>
  <si>
    <t>23,437</t>
  </si>
  <si>
    <t>±2,058</t>
  </si>
  <si>
    <t>20,978</t>
  </si>
  <si>
    <t>±2,362</t>
  </si>
  <si>
    <t>60,867</t>
  </si>
  <si>
    <t>±3,614</t>
  </si>
  <si>
    <t>6,275</t>
  </si>
  <si>
    <t>±1,668</t>
  </si>
  <si>
    <t>35,969</t>
  </si>
  <si>
    <t>±4,606</t>
  </si>
  <si>
    <t>27,480</t>
  </si>
  <si>
    <t>±3,189</t>
  </si>
  <si>
    <t>50,660</t>
  </si>
  <si>
    <t>±4,636</t>
  </si>
  <si>
    <t>36,731</t>
  </si>
  <si>
    <t>±3,517</t>
  </si>
  <si>
    <t>41.4%</t>
  </si>
  <si>
    <t>±3.4</t>
  </si>
  <si>
    <t>162,787</t>
  </si>
  <si>
    <t>±7,035</t>
  </si>
  <si>
    <t>111,847</t>
  </si>
  <si>
    <t>±6,112</t>
  </si>
  <si>
    <t>44.6%</t>
  </si>
  <si>
    <t>239,522</t>
  </si>
  <si>
    <t>±7,904</t>
  </si>
  <si>
    <t>33.4%</t>
  </si>
  <si>
    <t>34,414</t>
  </si>
  <si>
    <t>±2,963</t>
  </si>
  <si>
    <t>38.8%</t>
  </si>
  <si>
    <t>149,858</t>
  </si>
  <si>
    <t>±6,544</t>
  </si>
  <si>
    <t>36.2%</t>
  </si>
  <si>
    <t>74,110</t>
  </si>
  <si>
    <t>±5,264</t>
  </si>
  <si>
    <t>267,508</t>
  </si>
  <si>
    <t>±7,041</t>
  </si>
  <si>
    <t>37.3%</t>
  </si>
  <si>
    <t>11,318</t>
  </si>
  <si>
    <t>±1,968</t>
  </si>
  <si>
    <t>65,006</t>
  </si>
  <si>
    <t>±5,495</t>
  </si>
  <si>
    <t>37,393</t>
  </si>
  <si>
    <t>±3,294</t>
  </si>
  <si>
    <t>160,221</t>
  </si>
  <si>
    <t>±6,101</t>
  </si>
  <si>
    <t>22.3%</t>
  </si>
  <si>
    <t>N</t>
  </si>
  <si>
    <t>18,385</t>
  </si>
  <si>
    <t>±3,369</t>
  </si>
  <si>
    <t>265,625</t>
  </si>
  <si>
    <t>±6,814</t>
  </si>
  <si>
    <t>37.0%</t>
  </si>
  <si>
    <t>Bottled or tank gas (propane, butane, etc.)</t>
  </si>
  <si>
    <t>3,061</t>
  </si>
  <si>
    <t>0.7%</t>
  </si>
  <si>
    <t>11,543</t>
  </si>
  <si>
    <t>±1,752</t>
  </si>
  <si>
    <t>381,695</t>
  </si>
  <si>
    <t>±5,902</t>
  </si>
  <si>
    <t>92.3%</t>
  </si>
  <si>
    <t>422,466</t>
  </si>
  <si>
    <t>±8,180</t>
  </si>
  <si>
    <t>58.8%</t>
  </si>
  <si>
    <t>1,574</t>
  </si>
  <si>
    <t>±1,002</t>
  </si>
  <si>
    <t>8,102</t>
  </si>
  <si>
    <t>±1,311</t>
  </si>
  <si>
    <t>±247</t>
  </si>
  <si>
    <t>202</t>
  </si>
  <si>
    <t>±181</t>
  </si>
  <si>
    <t>1,547</t>
  </si>
  <si>
    <t>±798</t>
  </si>
  <si>
    <t>1,067</t>
  </si>
  <si>
    <t>1,730</t>
  </si>
  <si>
    <t>±790</t>
  </si>
  <si>
    <t>498</t>
  </si>
  <si>
    <t>1,235</t>
  </si>
  <si>
    <t>7,138</t>
  </si>
  <si>
    <t>±1,849</t>
  </si>
  <si>
    <t>5,663</t>
  </si>
  <si>
    <t>±1,244</t>
  </si>
  <si>
    <t>377</t>
  </si>
  <si>
    <t>2,164</t>
  </si>
  <si>
    <t>±1,003</t>
  </si>
  <si>
    <t>1,251</t>
  </si>
  <si>
    <t>±725</t>
  </si>
  <si>
    <t>2,226</t>
  </si>
  <si>
    <t>±933</t>
  </si>
  <si>
    <t>780</t>
  </si>
  <si>
    <t>±494</t>
  </si>
  <si>
    <t>2,575</t>
  </si>
  <si>
    <t>4,857</t>
  </si>
  <si>
    <t>182</t>
  </si>
  <si>
    <t>±156</t>
  </si>
  <si>
    <t>3,448</t>
  </si>
  <si>
    <t>±1,109</t>
  </si>
  <si>
    <t>1,102</t>
  </si>
  <si>
    <t>6,785</t>
  </si>
  <si>
    <t>±1,688</t>
  </si>
  <si>
    <t>86,712</t>
  </si>
  <si>
    <t>±3,490</t>
  </si>
  <si>
    <t>97.7%</t>
  </si>
  <si>
    <t>398,884</t>
  </si>
  <si>
    <t>±5,538</t>
  </si>
  <si>
    <t>96.4%</t>
  </si>
  <si>
    <t>243,366</t>
  </si>
  <si>
    <t>±4,948</t>
  </si>
  <si>
    <t>97.0%</t>
  </si>
  <si>
    <t>708,965</t>
  </si>
  <si>
    <t>±5,668</t>
  </si>
  <si>
    <t>98.8%</t>
  </si>
  <si>
    <t>1,317</t>
  </si>
  <si>
    <t>±703</t>
  </si>
  <si>
    <t>8,522</t>
  </si>
  <si>
    <t>±2,065</t>
  </si>
  <si>
    <t>4,877</t>
  </si>
  <si>
    <t>±1,234</t>
  </si>
  <si>
    <t>6,370</t>
  </si>
  <si>
    <t>709</t>
  </si>
  <si>
    <t>±744</t>
  </si>
  <si>
    <t>6,214</t>
  </si>
  <si>
    <t>±2,294</t>
  </si>
  <si>
    <t>2,587</t>
  </si>
  <si>
    <t>±980</t>
  </si>
  <si>
    <t>2,576</t>
  </si>
  <si>
    <t>±974</t>
  </si>
  <si>
    <t>2,664</t>
  </si>
  <si>
    <t>±1,168</t>
  </si>
  <si>
    <t>10,252</t>
  </si>
  <si>
    <t>±2,015</t>
  </si>
  <si>
    <t>4.3%</t>
  </si>
  <si>
    <t>8,481</t>
  </si>
  <si>
    <t>±1,717</t>
  </si>
  <si>
    <t>7.6%</t>
  </si>
  <si>
    <t>18,026</t>
  </si>
  <si>
    <t>±2,245</t>
  </si>
  <si>
    <t>4,381</t>
  </si>
  <si>
    <t>±1,025</t>
  </si>
  <si>
    <t>7,241</t>
  </si>
  <si>
    <t>±1,218</t>
  </si>
  <si>
    <t>15,517</t>
  </si>
  <si>
    <t>13.9%</t>
  </si>
  <si>
    <t>6,728</t>
  </si>
  <si>
    <t>±929</t>
  </si>
  <si>
    <t>11,112</t>
  </si>
  <si>
    <t>±1,949</t>
  </si>
  <si>
    <t>14,209</t>
  </si>
  <si>
    <t>±2,292</t>
  </si>
  <si>
    <t>10,113</t>
  </si>
  <si>
    <t>±1,554</t>
  </si>
  <si>
    <t>4,848</t>
  </si>
  <si>
    <t>16,035</t>
  </si>
  <si>
    <t>±2,308</t>
  </si>
  <si>
    <t>15,068</t>
  </si>
  <si>
    <t>±2,180</t>
  </si>
  <si>
    <t>23,747</t>
  </si>
  <si>
    <t>5.3%</t>
  </si>
  <si>
    <t>11,606</t>
  </si>
  <si>
    <t>±1,833</t>
  </si>
  <si>
    <t>24.5%</t>
  </si>
  <si>
    <t>59,453</t>
  </si>
  <si>
    <t>±4,932</t>
  </si>
  <si>
    <t>24.8%</t>
  </si>
  <si>
    <t>23,383</t>
  </si>
  <si>
    <t>±2,479</t>
  </si>
  <si>
    <t>20.9%</t>
  </si>
  <si>
    <t>99,404</t>
  </si>
  <si>
    <t>±4,792</t>
  </si>
  <si>
    <t>13,141</t>
  </si>
  <si>
    <t>±1,911</t>
  </si>
  <si>
    <t>27.8%</t>
  </si>
  <si>
    <t>±4.0</t>
  </si>
  <si>
    <t>95,467</t>
  </si>
  <si>
    <t>±5,097</t>
  </si>
  <si>
    <t>23,740</t>
  </si>
  <si>
    <t>±2,499</t>
  </si>
  <si>
    <t>177,670</t>
  </si>
  <si>
    <t>±6,417</t>
  </si>
  <si>
    <t>5,409</t>
  </si>
  <si>
    <t>31,521</t>
  </si>
  <si>
    <t>±3,138</t>
  </si>
  <si>
    <t>7,998</t>
  </si>
  <si>
    <t>±1,633</t>
  </si>
  <si>
    <t>99,549</t>
  </si>
  <si>
    <t>±4,498</t>
  </si>
  <si>
    <t>1,983</t>
  </si>
  <si>
    <t>±788</t>
  </si>
  <si>
    <t>9,128</t>
  </si>
  <si>
    <t>±1,429</t>
  </si>
  <si>
    <t>3,341</t>
  </si>
  <si>
    <t>±1,272</t>
  </si>
  <si>
    <t>16,050</t>
  </si>
  <si>
    <t>±1,620</t>
  </si>
  <si>
    <t>3.6%</t>
  </si>
  <si>
    <t>270,700</t>
  </si>
  <si>
    <t>±17,239</t>
  </si>
  <si>
    <t>325,300</t>
  </si>
  <si>
    <t>±7,085</t>
  </si>
  <si>
    <t>209,800</t>
  </si>
  <si>
    <t>±10,746</t>
  </si>
  <si>
    <t>363,400</t>
  </si>
  <si>
    <t>±4,200</t>
  </si>
  <si>
    <t>28,209</t>
  </si>
  <si>
    <t>±2,820</t>
  </si>
  <si>
    <t>59.6%</t>
  </si>
  <si>
    <t>±4.7</t>
  </si>
  <si>
    <t>157,365</t>
  </si>
  <si>
    <t>±6,931</t>
  </si>
  <si>
    <t>65.5%</t>
  </si>
  <si>
    <t>65,322</t>
  </si>
  <si>
    <t>±3,944</t>
  </si>
  <si>
    <t>58.5%</t>
  </si>
  <si>
    <t>319,081</t>
  </si>
  <si>
    <t>±7,884</t>
  </si>
  <si>
    <t>70.7%</t>
  </si>
  <si>
    <t>19,131</t>
  </si>
  <si>
    <t>±2,678</t>
  </si>
  <si>
    <t>40.4%</t>
  </si>
  <si>
    <t>82,844</t>
  </si>
  <si>
    <t>±4,893</t>
  </si>
  <si>
    <t>46,415</t>
  </si>
  <si>
    <t>±3,079</t>
  </si>
  <si>
    <t>41.5%</t>
  </si>
  <si>
    <t>132,206</t>
  </si>
  <si>
    <t>±5,285</t>
  </si>
  <si>
    <t>29.3%</t>
  </si>
  <si>
    <t>431</t>
  </si>
  <si>
    <t>±389</t>
  </si>
  <si>
    <t>2,018</t>
  </si>
  <si>
    <t>1,098</t>
  </si>
  <si>
    <t>±665</t>
  </si>
  <si>
    <t>2,652</t>
  </si>
  <si>
    <t>±1,057</t>
  </si>
  <si>
    <t>3,932</t>
  </si>
  <si>
    <t>±1,095</t>
  </si>
  <si>
    <t>±3.5</t>
  </si>
  <si>
    <t>10,900</t>
  </si>
  <si>
    <t>±2,100</t>
  </si>
  <si>
    <t>11,600</t>
  </si>
  <si>
    <t>±1,956</t>
  </si>
  <si>
    <t>17.8%</t>
  </si>
  <si>
    <t>14,998</t>
  </si>
  <si>
    <t>±1,777</t>
  </si>
  <si>
    <t>7,522</t>
  </si>
  <si>
    <t>±1,463</t>
  </si>
  <si>
    <t>±4.4</t>
  </si>
  <si>
    <t>34,178</t>
  </si>
  <si>
    <t>±3,434</t>
  </si>
  <si>
    <t>21.7%</t>
  </si>
  <si>
    <t>21,032</t>
  </si>
  <si>
    <t>±2,923</t>
  </si>
  <si>
    <t>32.2%</t>
  </si>
  <si>
    <t>58,480</t>
  </si>
  <si>
    <t>±3,719</t>
  </si>
  <si>
    <t>5,669</t>
  </si>
  <si>
    <t>±1,354</t>
  </si>
  <si>
    <t>±4.5</t>
  </si>
  <si>
    <t>38,957</t>
  </si>
  <si>
    <t>±3,914</t>
  </si>
  <si>
    <t>11,775</t>
  </si>
  <si>
    <t>±1,982</t>
  </si>
  <si>
    <t>80,142</t>
  </si>
  <si>
    <t>±4,981</t>
  </si>
  <si>
    <t>3,752</t>
  </si>
  <si>
    <t>13.3%</t>
  </si>
  <si>
    <t>±3.6</t>
  </si>
  <si>
    <t>30,900</t>
  </si>
  <si>
    <t>±4,135</t>
  </si>
  <si>
    <t>7,969</t>
  </si>
  <si>
    <t>70,323</t>
  </si>
  <si>
    <t>±4,844</t>
  </si>
  <si>
    <t>17,090</t>
  </si>
  <si>
    <t>±3,129</t>
  </si>
  <si>
    <t>3,629</t>
  </si>
  <si>
    <t>±938</t>
  </si>
  <si>
    <t>38,566</t>
  </si>
  <si>
    <t>±3,479</t>
  </si>
  <si>
    <t>3,630</t>
  </si>
  <si>
    <t>23,322</t>
  </si>
  <si>
    <t>±3,267</t>
  </si>
  <si>
    <t>8,219</t>
  </si>
  <si>
    <t>±1,671</t>
  </si>
  <si>
    <t>53,920</t>
  </si>
  <si>
    <t>±3,262</t>
  </si>
  <si>
    <t>1,706</t>
  </si>
  <si>
    <t>±131</t>
  </si>
  <si>
    <t>1,905</t>
  </si>
  <si>
    <t>±54</t>
  </si>
  <si>
    <t>1,473</t>
  </si>
  <si>
    <t>±64</t>
  </si>
  <si>
    <t>2,023</t>
  </si>
  <si>
    <t>898</t>
  </si>
  <si>
    <t>±464</t>
  </si>
  <si>
    <t>7,926</t>
  </si>
  <si>
    <t>3,153</t>
  </si>
  <si>
    <t>±886</t>
  </si>
  <si>
    <t>7,974</t>
  </si>
  <si>
    <t>3,037</t>
  </si>
  <si>
    <t>±986</t>
  </si>
  <si>
    <t>±4.8</t>
  </si>
  <si>
    <t>13,505</t>
  </si>
  <si>
    <t>±2,008</t>
  </si>
  <si>
    <t>16.3%</t>
  </si>
  <si>
    <t>7,809</t>
  </si>
  <si>
    <t>±3.1</t>
  </si>
  <si>
    <t>10,269</t>
  </si>
  <si>
    <t>±1,646</t>
  </si>
  <si>
    <t>5,603</t>
  </si>
  <si>
    <t>±6.4</t>
  </si>
  <si>
    <t>18,990</t>
  </si>
  <si>
    <t>22.9%</t>
  </si>
  <si>
    <t>15,138</t>
  </si>
  <si>
    <t>32.6%</t>
  </si>
  <si>
    <t>29,820</t>
  </si>
  <si>
    <t>±2,304</t>
  </si>
  <si>
    <t>±1,111</t>
  </si>
  <si>
    <t>18.9%</t>
  </si>
  <si>
    <t>±5.3</t>
  </si>
  <si>
    <t>16,620</t>
  </si>
  <si>
    <t>±2,346</t>
  </si>
  <si>
    <t>9,810</t>
  </si>
  <si>
    <t>±1,565</t>
  </si>
  <si>
    <t>21.1%</t>
  </si>
  <si>
    <t>31,576</t>
  </si>
  <si>
    <t>±2,701</t>
  </si>
  <si>
    <t>2,183</t>
  </si>
  <si>
    <t>±651</t>
  </si>
  <si>
    <t>10,688</t>
  </si>
  <si>
    <t>4,181</t>
  </si>
  <si>
    <t>±1,008</t>
  </si>
  <si>
    <t>20,771</t>
  </si>
  <si>
    <t>±2,111</t>
  </si>
  <si>
    <t>3,786</t>
  </si>
  <si>
    <t>19.8%</t>
  </si>
  <si>
    <t>±5.6</t>
  </si>
  <si>
    <t>15,115</t>
  </si>
  <si>
    <t>18.2%</t>
  </si>
  <si>
    <t>6,324</t>
  </si>
  <si>
    <t>±1,337</t>
  </si>
  <si>
    <t>13.6%</t>
  </si>
  <si>
    <t>31,796</t>
  </si>
  <si>
    <t>±3,167</t>
  </si>
  <si>
    <t>602</t>
  </si>
  <si>
    <t>±51</t>
  </si>
  <si>
    <t>612</t>
  </si>
  <si>
    <t>±34</t>
  </si>
  <si>
    <t>702</t>
  </si>
  <si>
    <t>±15</t>
  </si>
  <si>
    <t>28,045</t>
  </si>
  <si>
    <t>±2,812</t>
  </si>
  <si>
    <t>156,293</t>
  </si>
  <si>
    <t>±6,754</t>
  </si>
  <si>
    <t>64,434</t>
  </si>
  <si>
    <t>±4,052</t>
  </si>
  <si>
    <t>317,418</t>
  </si>
  <si>
    <t>±7,750</t>
  </si>
  <si>
    <t>14,886</t>
  </si>
  <si>
    <t>±2,086</t>
  </si>
  <si>
    <t>53.1%</t>
  </si>
  <si>
    <t>±6.8</t>
  </si>
  <si>
    <t>66,559</t>
  </si>
  <si>
    <t>±5,494</t>
  </si>
  <si>
    <t>42.6%</t>
  </si>
  <si>
    <t>27,997</t>
  </si>
  <si>
    <t>±2,956</t>
  </si>
  <si>
    <t>43.5%</t>
  </si>
  <si>
    <t>±3.7</t>
  </si>
  <si>
    <t>136,436</t>
  </si>
  <si>
    <t>±5,337</t>
  </si>
  <si>
    <t>43.0%</t>
  </si>
  <si>
    <t>3,817</t>
  </si>
  <si>
    <t>21,553</t>
  </si>
  <si>
    <t>±3,148</t>
  </si>
  <si>
    <t>7,706</t>
  </si>
  <si>
    <t>±1,743</t>
  </si>
  <si>
    <t>48,154</t>
  </si>
  <si>
    <t>±3,982</t>
  </si>
  <si>
    <t>2,855</t>
  </si>
  <si>
    <t>±1,147</t>
  </si>
  <si>
    <t>±3.8</t>
  </si>
  <si>
    <t>12,364</t>
  </si>
  <si>
    <t>±2,306</t>
  </si>
  <si>
    <t>6,304</t>
  </si>
  <si>
    <t>±1,471</t>
  </si>
  <si>
    <t>36,842</t>
  </si>
  <si>
    <t>±3,891</t>
  </si>
  <si>
    <t>1,714</t>
  </si>
  <si>
    <t>±1,066</t>
  </si>
  <si>
    <t>10,995</t>
  </si>
  <si>
    <t>±2,400</t>
  </si>
  <si>
    <t>4,736</t>
  </si>
  <si>
    <t>±1,299</t>
  </si>
  <si>
    <t>22,615</t>
  </si>
  <si>
    <t>±2,559</t>
  </si>
  <si>
    <t>4,773</t>
  </si>
  <si>
    <t>±1,373</t>
  </si>
  <si>
    <t>44,822</t>
  </si>
  <si>
    <t>±4,213</t>
  </si>
  <si>
    <t>28.7%</t>
  </si>
  <si>
    <t>17,691</t>
  </si>
  <si>
    <t>±2,605</t>
  </si>
  <si>
    <t>27.5%</t>
  </si>
  <si>
    <t>73,371</t>
  </si>
  <si>
    <t>±4,124</t>
  </si>
  <si>
    <t>23.1%</t>
  </si>
  <si>
    <t>164</t>
  </si>
  <si>
    <t>±196</t>
  </si>
  <si>
    <t>1,072</t>
  </si>
  <si>
    <t>±661</t>
  </si>
  <si>
    <t>888</t>
  </si>
  <si>
    <t>1,663</t>
  </si>
  <si>
    <t>18,607</t>
  </si>
  <si>
    <t>±2,642</t>
  </si>
  <si>
    <t>81,329</t>
  </si>
  <si>
    <t>±4,771</t>
  </si>
  <si>
    <t>45,398</t>
  </si>
  <si>
    <t>±3,102</t>
  </si>
  <si>
    <t>130,678</t>
  </si>
  <si>
    <t>±5,254</t>
  </si>
  <si>
    <t>7,765</t>
  </si>
  <si>
    <t>±1,523</t>
  </si>
  <si>
    <t>41.7%</t>
  </si>
  <si>
    <t>±6.3</t>
  </si>
  <si>
    <t>39,712</t>
  </si>
  <si>
    <t>±3,818</t>
  </si>
  <si>
    <t>48.8%</t>
  </si>
  <si>
    <t>18,318</t>
  </si>
  <si>
    <t>±2,133</t>
  </si>
  <si>
    <t>40.3%</t>
  </si>
  <si>
    <t>61,663</t>
  </si>
  <si>
    <t>±4,263</t>
  </si>
  <si>
    <t>47.2%</t>
  </si>
  <si>
    <t>4,125</t>
  </si>
  <si>
    <t>±1,187</t>
  </si>
  <si>
    <t>22.2%</t>
  </si>
  <si>
    <t>16,371</t>
  </si>
  <si>
    <t>±2,223</t>
  </si>
  <si>
    <t>8,537</t>
  </si>
  <si>
    <t>±1,586</t>
  </si>
  <si>
    <t>25,622</t>
  </si>
  <si>
    <t>2,668</t>
  </si>
  <si>
    <t>±5.4</t>
  </si>
  <si>
    <t>6,757</t>
  </si>
  <si>
    <t>±1,347</t>
  </si>
  <si>
    <t>5,182</t>
  </si>
  <si>
    <t>±1,241</t>
  </si>
  <si>
    <t>13,498</t>
  </si>
  <si>
    <t>±1,836</t>
  </si>
  <si>
    <t>1,384</t>
  </si>
  <si>
    <t>±810</t>
  </si>
  <si>
    <t>±4.2</t>
  </si>
  <si>
    <t>4,817</t>
  </si>
  <si>
    <t>±1,318</t>
  </si>
  <si>
    <t>2,960</t>
  </si>
  <si>
    <t>±1,032</t>
  </si>
  <si>
    <t>7,664</t>
  </si>
  <si>
    <t>±1,499</t>
  </si>
  <si>
    <t>201</t>
  </si>
  <si>
    <t>±177</t>
  </si>
  <si>
    <t>2,651</t>
  </si>
  <si>
    <t>±858</t>
  </si>
  <si>
    <t>1,683</t>
  </si>
  <si>
    <t>±689</t>
  </si>
  <si>
    <t>4,942</t>
  </si>
  <si>
    <t>410</t>
  </si>
  <si>
    <t>±302</t>
  </si>
  <si>
    <t>2,123</t>
  </si>
  <si>
    <t>±1,065</t>
  </si>
  <si>
    <t>921</t>
  </si>
  <si>
    <t>3,931</t>
  </si>
  <si>
    <t>2,054</t>
  </si>
  <si>
    <t>8,898</t>
  </si>
  <si>
    <t>±1,625</t>
  </si>
  <si>
    <t>7,797</t>
  </si>
  <si>
    <t>±1,770</t>
  </si>
  <si>
    <t>13,358</t>
  </si>
  <si>
    <t>±1,670</t>
  </si>
  <si>
    <t>524</t>
  </si>
  <si>
    <t>±361</t>
  </si>
  <si>
    <t>1,515</t>
  </si>
  <si>
    <t>±1,017</t>
  </si>
  <si>
    <t>1,017</t>
  </si>
  <si>
    <t>±669</t>
  </si>
  <si>
    <t>1,528</t>
  </si>
  <si>
    <t>±633</t>
  </si>
  <si>
    <t>40,448</t>
  </si>
  <si>
    <t>±3,229</t>
  </si>
  <si>
    <t>168,725</t>
  </si>
  <si>
    <t>±7,236</t>
  </si>
  <si>
    <t>133,659</t>
  </si>
  <si>
    <t>±4,842</t>
  </si>
  <si>
    <t>258,397</t>
  </si>
  <si>
    <t>±7,314</t>
  </si>
  <si>
    <t>1,811</t>
  </si>
  <si>
    <t>±892</t>
  </si>
  <si>
    <t>7,712</t>
  </si>
  <si>
    <t>5,284</t>
  </si>
  <si>
    <t>11,479</t>
  </si>
  <si>
    <t>±1,761</t>
  </si>
  <si>
    <t>12,010</t>
  </si>
  <si>
    <t>±2,554</t>
  </si>
  <si>
    <t>29.7%</t>
  </si>
  <si>
    <t>±5.5</t>
  </si>
  <si>
    <t>16,975</t>
  </si>
  <si>
    <t>29,635</t>
  </si>
  <si>
    <t>±3,831</t>
  </si>
  <si>
    <t>26,363</t>
  </si>
  <si>
    <t>±3,202</t>
  </si>
  <si>
    <t>18,963</t>
  </si>
  <si>
    <t>±2,711</t>
  </si>
  <si>
    <t>46.9%</t>
  </si>
  <si>
    <t>±5.7</t>
  </si>
  <si>
    <t>51,607</t>
  </si>
  <si>
    <t>±5,272</t>
  </si>
  <si>
    <t>60,804</t>
  </si>
  <si>
    <t>±4,408</t>
  </si>
  <si>
    <t>82,006</t>
  </si>
  <si>
    <t>31.7%</t>
  </si>
  <si>
    <t>5,811</t>
  </si>
  <si>
    <t>±1,667</t>
  </si>
  <si>
    <t>±3.9</t>
  </si>
  <si>
    <t>59,479</t>
  </si>
  <si>
    <t>±5,807</t>
  </si>
  <si>
    <t>35.3%</t>
  </si>
  <si>
    <t>27,470</t>
  </si>
  <si>
    <t>±3,436</t>
  </si>
  <si>
    <t>83,159</t>
  </si>
  <si>
    <t>±5,255</t>
  </si>
  <si>
    <t>873</t>
  </si>
  <si>
    <t>±668</t>
  </si>
  <si>
    <t>24,503</t>
  </si>
  <si>
    <t>±4,152</t>
  </si>
  <si>
    <t>14.5%</t>
  </si>
  <si>
    <t>5,826</t>
  </si>
  <si>
    <t>±1,812</t>
  </si>
  <si>
    <t>38,606</t>
  </si>
  <si>
    <t>±3,732</t>
  </si>
  <si>
    <t>181</t>
  </si>
  <si>
    <t>±142</t>
  </si>
  <si>
    <t>6,308</t>
  </si>
  <si>
    <t>±1,837</t>
  </si>
  <si>
    <t>2,742</t>
  </si>
  <si>
    <t>9,645</t>
  </si>
  <si>
    <t>±1,635</t>
  </si>
  <si>
    <t>799</t>
  </si>
  <si>
    <t>±532</t>
  </si>
  <si>
    <t>2,141</t>
  </si>
  <si>
    <t>±1,230</t>
  </si>
  <si>
    <t>1,898</t>
  </si>
  <si>
    <t>7,139</t>
  </si>
  <si>
    <t>±1,563</t>
  </si>
  <si>
    <t>1,136</t>
  </si>
  <si>
    <t>±42</t>
  </si>
  <si>
    <t>1,568</t>
  </si>
  <si>
    <t>±41</t>
  </si>
  <si>
    <t>1,263</t>
  </si>
  <si>
    <t>±31</t>
  </si>
  <si>
    <t>±28</t>
  </si>
  <si>
    <t>950</t>
  </si>
  <si>
    <t>4,686</t>
  </si>
  <si>
    <t>±1,384</t>
  </si>
  <si>
    <t>5,434</t>
  </si>
  <si>
    <t>±1,664</t>
  </si>
  <si>
    <t>8,227</t>
  </si>
  <si>
    <t>±1,875</t>
  </si>
  <si>
    <t>38,366</t>
  </si>
  <si>
    <t>±3,200</t>
  </si>
  <si>
    <t>166,475</t>
  </si>
  <si>
    <t>±7,131</t>
  </si>
  <si>
    <t>130,120</t>
  </si>
  <si>
    <t>253,762</t>
  </si>
  <si>
    <t>±7,434</t>
  </si>
  <si>
    <t>4,943</t>
  </si>
  <si>
    <t>±1,452</t>
  </si>
  <si>
    <t>12,452</t>
  </si>
  <si>
    <t>±2,490</t>
  </si>
  <si>
    <t>11,984</t>
  </si>
  <si>
    <t>24,010</t>
  </si>
  <si>
    <t>5,484</t>
  </si>
  <si>
    <t>±1,700</t>
  </si>
  <si>
    <t>±4.3</t>
  </si>
  <si>
    <t>±3,469</t>
  </si>
  <si>
    <t>15,725</t>
  </si>
  <si>
    <t>±2,837</t>
  </si>
  <si>
    <t>30,325</t>
  </si>
  <si>
    <t>±3,603</t>
  </si>
  <si>
    <t>5,103</t>
  </si>
  <si>
    <t>16,951</t>
  </si>
  <si>
    <t>±3,010</t>
  </si>
  <si>
    <t>13,965</t>
  </si>
  <si>
    <t>±2,709</t>
  </si>
  <si>
    <t>32,505</t>
  </si>
  <si>
    <t>±3,645</t>
  </si>
  <si>
    <t>5,885</t>
  </si>
  <si>
    <t>±1,632</t>
  </si>
  <si>
    <t>20,624</t>
  </si>
  <si>
    <t>±3,500</t>
  </si>
  <si>
    <t>14,530</t>
  </si>
  <si>
    <t>±2,395</t>
  </si>
  <si>
    <t>25,029</t>
  </si>
  <si>
    <t>±2,894</t>
  </si>
  <si>
    <t>3,704</t>
  </si>
  <si>
    <t>20,679</t>
  </si>
  <si>
    <t>±3,411</t>
  </si>
  <si>
    <t>9,266</t>
  </si>
  <si>
    <t>±2,413</t>
  </si>
  <si>
    <t>28,855</t>
  </si>
  <si>
    <t>±4,032</t>
  </si>
  <si>
    <t>13,247</t>
  </si>
  <si>
    <t>±2,671</t>
  </si>
  <si>
    <t>±6.0</t>
  </si>
  <si>
    <t>77,020</t>
  </si>
  <si>
    <t>±6,125</t>
  </si>
  <si>
    <t>46.3%</t>
  </si>
  <si>
    <t>64,650</t>
  </si>
  <si>
    <t>±4,383</t>
  </si>
  <si>
    <t>49.7%</t>
  </si>
  <si>
    <t>113,038</t>
  </si>
  <si>
    <t>±5,981</t>
  </si>
  <si>
    <t>3,032</t>
  </si>
  <si>
    <t>±1,201</t>
  </si>
  <si>
    <t>6,936</t>
  </si>
  <si>
    <t>8,973</t>
  </si>
  <si>
    <t>±1,885</t>
  </si>
  <si>
    <t>12,862</t>
  </si>
  <si>
    <t>±2,260</t>
  </si>
  <si>
    <t>Norfolk</t>
  </si>
  <si>
    <t>Memphis</t>
  </si>
  <si>
    <t>CAGR</t>
  </si>
  <si>
    <t>Population</t>
  </si>
  <si>
    <t>Housing Units</t>
  </si>
  <si>
    <t xml:space="preserve">Median Income </t>
  </si>
  <si>
    <t>Av House Hold Size</t>
  </si>
  <si>
    <t>Owner Occupied HU</t>
  </si>
  <si>
    <t>Renter HU</t>
  </si>
  <si>
    <t>Vacancy Rate</t>
  </si>
  <si>
    <t>Median Rent</t>
  </si>
  <si>
    <t>Jacksonville FL</t>
  </si>
  <si>
    <t>Little Rock</t>
  </si>
  <si>
    <t>Median Home Value</t>
  </si>
  <si>
    <t>Percent occupied housing units</t>
  </si>
  <si>
    <t>Owner-occupied housing units</t>
  </si>
  <si>
    <t>Percent owner-occupied housing units</t>
  </si>
  <si>
    <t>Renter-occupied housing units</t>
  </si>
  <si>
    <t>Percent renter-occupied housing units</t>
  </si>
  <si>
    <t>HOUSEHOLD INCOME IN THE PAST 12 MONTHS (IN 2024 INFLATION-ADJUSTED DOLLARS)</t>
  </si>
  <si>
    <t>Less than $5,000</t>
  </si>
  <si>
    <t>4,349</t>
  </si>
  <si>
    <t>±1,383</t>
  </si>
  <si>
    <t>1,467</t>
  </si>
  <si>
    <t>2,882</t>
  </si>
  <si>
    <t>16,855</t>
  </si>
  <si>
    <t>6,668</t>
  </si>
  <si>
    <t>±1,753</t>
  </si>
  <si>
    <t>10,187</t>
  </si>
  <si>
    <t>±2,196</t>
  </si>
  <si>
    <t>17,912</t>
  </si>
  <si>
    <t>±3,113</t>
  </si>
  <si>
    <t>6,346</t>
  </si>
  <si>
    <t>±1,716</t>
  </si>
  <si>
    <t>11,566</t>
  </si>
  <si>
    <t>±2,511</t>
  </si>
  <si>
    <t>20,599</t>
  </si>
  <si>
    <t>±2,324</t>
  </si>
  <si>
    <t>8,022</t>
  </si>
  <si>
    <t>12,577</t>
  </si>
  <si>
    <t>$5,000 to $9,999</t>
  </si>
  <si>
    <t>1,385</t>
  </si>
  <si>
    <t>±752</t>
  </si>
  <si>
    <t>708</t>
  </si>
  <si>
    <t>±460</t>
  </si>
  <si>
    <t>677</t>
  </si>
  <si>
    <t>8,321</t>
  </si>
  <si>
    <t>±2,128</t>
  </si>
  <si>
    <t>2,695</t>
  </si>
  <si>
    <t>±871</t>
  </si>
  <si>
    <t>5,626</t>
  </si>
  <si>
    <t>±1,851</t>
  </si>
  <si>
    <t>8,135</t>
  </si>
  <si>
    <t>±1,951</t>
  </si>
  <si>
    <t>2,245</t>
  </si>
  <si>
    <t>±1,100</t>
  </si>
  <si>
    <t>5,890</t>
  </si>
  <si>
    <t>±1,713</t>
  </si>
  <si>
    <t>11,354</t>
  </si>
  <si>
    <t>±2,116</t>
  </si>
  <si>
    <t>4,037</t>
  </si>
  <si>
    <t>±1,059</t>
  </si>
  <si>
    <t>7,317</t>
  </si>
  <si>
    <t>$10,000 to $14,999</t>
  </si>
  <si>
    <t>2,499</t>
  </si>
  <si>
    <t>±1,040</t>
  </si>
  <si>
    <t>698</t>
  </si>
  <si>
    <t>±398</t>
  </si>
  <si>
    <t>1,801</t>
  </si>
  <si>
    <t>±925</t>
  </si>
  <si>
    <t>11,420</t>
  </si>
  <si>
    <t>±2,211</t>
  </si>
  <si>
    <t>5,264</t>
  </si>
  <si>
    <t>±1,246</t>
  </si>
  <si>
    <t>6,156</t>
  </si>
  <si>
    <t>±1,701</t>
  </si>
  <si>
    <t>±2,789</t>
  </si>
  <si>
    <t>3,167</t>
  </si>
  <si>
    <t>±1,052</t>
  </si>
  <si>
    <t>10,132</t>
  </si>
  <si>
    <t>19,076</t>
  </si>
  <si>
    <t>±2,688</t>
  </si>
  <si>
    <t>5,937</t>
  </si>
  <si>
    <t>±1,021</t>
  </si>
  <si>
    <t>13,139</t>
  </si>
  <si>
    <t>±2,448</t>
  </si>
  <si>
    <t>$15,000 to $19,999</t>
  </si>
  <si>
    <t>3,356</t>
  </si>
  <si>
    <t>±1,267</t>
  </si>
  <si>
    <t>1,296</t>
  </si>
  <si>
    <t>2,060</t>
  </si>
  <si>
    <t>±976</t>
  </si>
  <si>
    <t>±2,959</t>
  </si>
  <si>
    <t>5,100</t>
  </si>
  <si>
    <t>±1,684</t>
  </si>
  <si>
    <t>6,989</t>
  </si>
  <si>
    <t>±2,156</t>
  </si>
  <si>
    <t>10,184</t>
  </si>
  <si>
    <t>±2,255</t>
  </si>
  <si>
    <t>3,159</t>
  </si>
  <si>
    <t>±1,169</t>
  </si>
  <si>
    <t>7,025</t>
  </si>
  <si>
    <t>±2,002</t>
  </si>
  <si>
    <t>15,132</t>
  </si>
  <si>
    <t>±2,667</t>
  </si>
  <si>
    <t>4,770</t>
  </si>
  <si>
    <t>±1,190</t>
  </si>
  <si>
    <t>10,362</t>
  </si>
  <si>
    <t>±2,332</t>
  </si>
  <si>
    <t>$20,000 to $24,999</t>
  </si>
  <si>
    <t>3,740</t>
  </si>
  <si>
    <t>±1,498</t>
  </si>
  <si>
    <t>1,186</t>
  </si>
  <si>
    <t>2,554</t>
  </si>
  <si>
    <t>12,407</t>
  </si>
  <si>
    <t>4,379</t>
  </si>
  <si>
    <t>±1,185</t>
  </si>
  <si>
    <t>±2,028</t>
  </si>
  <si>
    <t>14,833</t>
  </si>
  <si>
    <t>±2,555</t>
  </si>
  <si>
    <t>4,704</t>
  </si>
  <si>
    <t>±1,331</t>
  </si>
  <si>
    <t>10,129</t>
  </si>
  <si>
    <t>±2,237</t>
  </si>
  <si>
    <t>23,053</t>
  </si>
  <si>
    <t>±2,749</t>
  </si>
  <si>
    <t>8,821</t>
  </si>
  <si>
    <t>±1,283</t>
  </si>
  <si>
    <t>14,232</t>
  </si>
  <si>
    <t>±2,453</t>
  </si>
  <si>
    <t>$25,000 to $34,999</t>
  </si>
  <si>
    <t>7,154</t>
  </si>
  <si>
    <t>2,116</t>
  </si>
  <si>
    <t>±1,015</t>
  </si>
  <si>
    <t>5,038</t>
  </si>
  <si>
    <t>±4.9</t>
  </si>
  <si>
    <t>29,961</t>
  </si>
  <si>
    <t>±4,109</t>
  </si>
  <si>
    <t>11,875</t>
  </si>
  <si>
    <t>±2,001</t>
  </si>
  <si>
    <t>18,086</t>
  </si>
  <si>
    <t>±3,716</t>
  </si>
  <si>
    <t>19,796</t>
  </si>
  <si>
    <t>±2,510</t>
  </si>
  <si>
    <t>6,651</t>
  </si>
  <si>
    <t>±1,388</t>
  </si>
  <si>
    <t>13,145</t>
  </si>
  <si>
    <t>±2,299</t>
  </si>
  <si>
    <t>43,474</t>
  </si>
  <si>
    <t>±4,288</t>
  </si>
  <si>
    <t>19,080</t>
  </si>
  <si>
    <t>±2,595</t>
  </si>
  <si>
    <t>24,394</t>
  </si>
  <si>
    <t>±3,389</t>
  </si>
  <si>
    <t>$35,000 to $49,999</t>
  </si>
  <si>
    <t>11,856</t>
  </si>
  <si>
    <t>±2,293</t>
  </si>
  <si>
    <t>18.4%</t>
  </si>
  <si>
    <t>±5.2</t>
  </si>
  <si>
    <t>43,598</t>
  </si>
  <si>
    <t>±4,638</t>
  </si>
  <si>
    <t>18,001</t>
  </si>
  <si>
    <t>±2,372</t>
  </si>
  <si>
    <t>25,597</t>
  </si>
  <si>
    <t>±3,947</t>
  </si>
  <si>
    <t>34,536</t>
  </si>
  <si>
    <t>±3,855</t>
  </si>
  <si>
    <t>12,436</t>
  </si>
  <si>
    <t>±2,045</t>
  </si>
  <si>
    <t>22,100</t>
  </si>
  <si>
    <t>±3,574</t>
  </si>
  <si>
    <t>68,418</t>
  </si>
  <si>
    <t>±4,890</t>
  </si>
  <si>
    <t>31,939</t>
  </si>
  <si>
    <t>±3,034</t>
  </si>
  <si>
    <t>36,479</t>
  </si>
  <si>
    <t>±4,391</t>
  </si>
  <si>
    <t>$50,000 to $74,999</t>
  </si>
  <si>
    <t>14,697</t>
  </si>
  <si>
    <t>±2,469</t>
  </si>
  <si>
    <t>5,838</t>
  </si>
  <si>
    <t>8,859</t>
  </si>
  <si>
    <t>±2,107</t>
  </si>
  <si>
    <t>21.4%</t>
  </si>
  <si>
    <t>78,589</t>
  </si>
  <si>
    <t>±5,324</t>
  </si>
  <si>
    <t>40,871</t>
  </si>
  <si>
    <t>±3,412</t>
  </si>
  <si>
    <t>37,718</t>
  </si>
  <si>
    <t>±4,464</t>
  </si>
  <si>
    <t>21.8%</t>
  </si>
  <si>
    <t>44,673</t>
  </si>
  <si>
    <t>±4,184</t>
  </si>
  <si>
    <t>19,767</t>
  </si>
  <si>
    <t>±3,066</t>
  </si>
  <si>
    <t>24,906</t>
  </si>
  <si>
    <t>±3,197</t>
  </si>
  <si>
    <t>125,889</t>
  </si>
  <si>
    <t>±6,290</t>
  </si>
  <si>
    <t>68,526</t>
  </si>
  <si>
    <t>±4,820</t>
  </si>
  <si>
    <t>57,363</t>
  </si>
  <si>
    <t>±4,748</t>
  </si>
  <si>
    <t>21.5%</t>
  </si>
  <si>
    <t>$75,000 to $99,999</t>
  </si>
  <si>
    <t>11,082</t>
  </si>
  <si>
    <t>6,770</t>
  </si>
  <si>
    <t>±1,619</t>
  </si>
  <si>
    <t>4,312</t>
  </si>
  <si>
    <t>±1,475</t>
  </si>
  <si>
    <t>58,346</t>
  </si>
  <si>
    <t>±4,889</t>
  </si>
  <si>
    <t>32,490</t>
  </si>
  <si>
    <t>±3,695</t>
  </si>
  <si>
    <t>25,856</t>
  </si>
  <si>
    <t>±4,197</t>
  </si>
  <si>
    <t>31,172</t>
  </si>
  <si>
    <t>±3,509</t>
  </si>
  <si>
    <t>14,666</t>
  </si>
  <si>
    <t>±1,984</t>
  </si>
  <si>
    <t>16,506</t>
  </si>
  <si>
    <t>±2,950</t>
  </si>
  <si>
    <t>96,645</t>
  </si>
  <si>
    <t>±4,961</t>
  </si>
  <si>
    <t>60,435</t>
  </si>
  <si>
    <t>±3,697</t>
  </si>
  <si>
    <t>36,210</t>
  </si>
  <si>
    <t>±3,994</t>
  </si>
  <si>
    <t>14,200</t>
  </si>
  <si>
    <t>±2,313</t>
  </si>
  <si>
    <t>9,669</t>
  </si>
  <si>
    <t>4,531</t>
  </si>
  <si>
    <t>±1,650</t>
  </si>
  <si>
    <t>72,919</t>
  </si>
  <si>
    <t>±5,488</t>
  </si>
  <si>
    <t>17.6%</t>
  </si>
  <si>
    <t>55,515</t>
  </si>
  <si>
    <t>±4,560</t>
  </si>
  <si>
    <t>17,404</t>
  </si>
  <si>
    <t>±3,065</t>
  </si>
  <si>
    <t>17,086</t>
  </si>
  <si>
    <t>±2,421</t>
  </si>
  <si>
    <t>13,340</t>
  </si>
  <si>
    <t>137,639</t>
  </si>
  <si>
    <t>±5,284</t>
  </si>
  <si>
    <t>102,211</t>
  </si>
  <si>
    <t>±5,212</t>
  </si>
  <si>
    <t>35,428</t>
  </si>
  <si>
    <t>±3,519</t>
  </si>
  <si>
    <t>$150,000 or more</t>
  </si>
  <si>
    <t>14,420</t>
  </si>
  <si>
    <t>±1,766</t>
  </si>
  <si>
    <t>13,334</t>
  </si>
  <si>
    <t>28.2%</t>
  </si>
  <si>
    <t>1,086</t>
  </si>
  <si>
    <t>69,115</t>
  </si>
  <si>
    <t>±4,987</t>
  </si>
  <si>
    <t>57,351</t>
  </si>
  <si>
    <t>±4,756</t>
  </si>
  <si>
    <t>11,764</t>
  </si>
  <si>
    <t>±2,777</t>
  </si>
  <si>
    <t>25,864</t>
  </si>
  <si>
    <t>±2,273</t>
  </si>
  <si>
    <t>21,510</t>
  </si>
  <si>
    <t>±1,920</t>
  </si>
  <si>
    <t>4,354</t>
  </si>
  <si>
    <t>±1,678</t>
  </si>
  <si>
    <t>156,632</t>
  </si>
  <si>
    <t>±5,841</t>
  </si>
  <si>
    <t>137,509</t>
  </si>
  <si>
    <t>±5,327</t>
  </si>
  <si>
    <t>19,123</t>
  </si>
  <si>
    <t>±2,685</t>
  </si>
  <si>
    <t>Median household income (dollars)</t>
  </si>
  <si>
    <t>66,553</t>
  </si>
  <si>
    <t>±3,400</t>
  </si>
  <si>
    <t>97,719</t>
  </si>
  <si>
    <t>±8,248</t>
  </si>
  <si>
    <t>45,393</t>
  </si>
  <si>
    <t>±7,009</t>
  </si>
  <si>
    <t>72,389</t>
  </si>
  <si>
    <t>±2,436</t>
  </si>
  <si>
    <t>92,720</t>
  </si>
  <si>
    <t>±4,096</t>
  </si>
  <si>
    <t>53,641</t>
  </si>
  <si>
    <t>±3,880</t>
  </si>
  <si>
    <t>52,679</t>
  </si>
  <si>
    <t>±2,423</t>
  </si>
  <si>
    <t>71,480</t>
  </si>
  <si>
    <t>±4,247</t>
  </si>
  <si>
    <t>41,982</t>
  </si>
  <si>
    <t>±2,201</t>
  </si>
  <si>
    <t>82,402</t>
  </si>
  <si>
    <t>±1,660</t>
  </si>
  <si>
    <t>105,603</t>
  </si>
  <si>
    <t>54,460</t>
  </si>
  <si>
    <t>±1,782</t>
  </si>
  <si>
    <t>MONTHLY HOUSING COSTS</t>
  </si>
  <si>
    <t>Less than $300</t>
  </si>
  <si>
    <t>3,340</t>
  </si>
  <si>
    <t>±1,148</t>
  </si>
  <si>
    <t>2,104</t>
  </si>
  <si>
    <t>±831</t>
  </si>
  <si>
    <t>1,236</t>
  </si>
  <si>
    <t>±829</t>
  </si>
  <si>
    <t>17,039</t>
  </si>
  <si>
    <t>±2,177</t>
  </si>
  <si>
    <t>13,520</t>
  </si>
  <si>
    <t>±1,827</t>
  </si>
  <si>
    <t>3,519</t>
  </si>
  <si>
    <t>±1,116</t>
  </si>
  <si>
    <t>7,960</t>
  </si>
  <si>
    <t>±1,547</t>
  </si>
  <si>
    <t>5,681</t>
  </si>
  <si>
    <t>±1,091</t>
  </si>
  <si>
    <t>2,279</t>
  </si>
  <si>
    <t>±1,174</t>
  </si>
  <si>
    <t>17,603</t>
  </si>
  <si>
    <t>11,672</t>
  </si>
  <si>
    <t>±2,000</t>
  </si>
  <si>
    <t>5,931</t>
  </si>
  <si>
    <t>±1,300</t>
  </si>
  <si>
    <t>$300 to $499</t>
  </si>
  <si>
    <t>5,894</t>
  </si>
  <si>
    <t>±1,081</t>
  </si>
  <si>
    <t>5,319</t>
  </si>
  <si>
    <t>±1,012</t>
  </si>
  <si>
    <t>575</t>
  </si>
  <si>
    <t>23,590</t>
  </si>
  <si>
    <t>±2,399</t>
  </si>
  <si>
    <t>19,397</t>
  </si>
  <si>
    <t>±2,052</t>
  </si>
  <si>
    <t>4,193</t>
  </si>
  <si>
    <t>±1,333</t>
  </si>
  <si>
    <t>18,968</t>
  </si>
  <si>
    <t>±2,584</t>
  </si>
  <si>
    <t>15,963</t>
  </si>
  <si>
    <t>±2,407</t>
  </si>
  <si>
    <t>3,005</t>
  </si>
  <si>
    <t>±994</t>
  </si>
  <si>
    <t>26,933</t>
  </si>
  <si>
    <t>±2,630</t>
  </si>
  <si>
    <t>21,385</t>
  </si>
  <si>
    <t>±2,235</t>
  </si>
  <si>
    <t>5,548</t>
  </si>
  <si>
    <t>±1,197</t>
  </si>
  <si>
    <t>$500 to $799</t>
  </si>
  <si>
    <t>12,352</t>
  </si>
  <si>
    <t>±1,940</t>
  </si>
  <si>
    <t>7,858</t>
  </si>
  <si>
    <t>±1,675</t>
  </si>
  <si>
    <t>4,494</t>
  </si>
  <si>
    <t>±1,396</t>
  </si>
  <si>
    <t>37,701</t>
  </si>
  <si>
    <t>±3,599</t>
  </si>
  <si>
    <t>30,049</t>
  </si>
  <si>
    <t>±3,196</t>
  </si>
  <si>
    <t>7,652</t>
  </si>
  <si>
    <t>±2,232</t>
  </si>
  <si>
    <t>31,830</t>
  </si>
  <si>
    <t>±3,378</t>
  </si>
  <si>
    <t>19,435</t>
  </si>
  <si>
    <t>±1,952</t>
  </si>
  <si>
    <t>17.4%</t>
  </si>
  <si>
    <t>12,395</t>
  </si>
  <si>
    <t>±2,363</t>
  </si>
  <si>
    <t>65,137</t>
  </si>
  <si>
    <t>±4,526</t>
  </si>
  <si>
    <t>54,583</t>
  </si>
  <si>
    <t>±3,535</t>
  </si>
  <si>
    <t>10,554</t>
  </si>
  <si>
    <t>±2,364</t>
  </si>
  <si>
    <t>11,943</t>
  </si>
  <si>
    <t>±2,343</t>
  </si>
  <si>
    <t>4,427</t>
  </si>
  <si>
    <t>±955</t>
  </si>
  <si>
    <t>7,516</t>
  </si>
  <si>
    <t>±2,172</t>
  </si>
  <si>
    <t>27,004</t>
  </si>
  <si>
    <t>±3,682</t>
  </si>
  <si>
    <t>17,681</t>
  </si>
  <si>
    <t>±2,828</t>
  </si>
  <si>
    <t>9,323</t>
  </si>
  <si>
    <t>±2,231</t>
  </si>
  <si>
    <t>28,950</t>
  </si>
  <si>
    <t>±3,444</t>
  </si>
  <si>
    <t>11,710</t>
  </si>
  <si>
    <t>±1,760</t>
  </si>
  <si>
    <t>17,240</t>
  </si>
  <si>
    <t>±2,896</t>
  </si>
  <si>
    <t>46,229</t>
  </si>
  <si>
    <t>±3,441</t>
  </si>
  <si>
    <t>30,420</t>
  </si>
  <si>
    <t>±2,807</t>
  </si>
  <si>
    <t>±2,163</t>
  </si>
  <si>
    <t>29,066</t>
  </si>
  <si>
    <t>±2,811</t>
  </si>
  <si>
    <t>32.8%</t>
  </si>
  <si>
    <t>10,103</t>
  </si>
  <si>
    <t>±1,754</t>
  </si>
  <si>
    <t>21.3%</t>
  </si>
  <si>
    <t>45.8%</t>
  </si>
  <si>
    <t>95,788</t>
  </si>
  <si>
    <t>±5,998</t>
  </si>
  <si>
    <t>44,181</t>
  </si>
  <si>
    <t>±3,948</t>
  </si>
  <si>
    <t>84,972</t>
  </si>
  <si>
    <t>±5,261</t>
  </si>
  <si>
    <t>33.9%</t>
  </si>
  <si>
    <t>24,168</t>
  </si>
  <si>
    <t>±3,095</t>
  </si>
  <si>
    <t>162,074</t>
  </si>
  <si>
    <t>±7,481</t>
  </si>
  <si>
    <t>80,068</t>
  </si>
  <si>
    <t>±4,366</t>
  </si>
  <si>
    <t>12,251</t>
  </si>
  <si>
    <t>±2,302</t>
  </si>
  <si>
    <t>6,440</t>
  </si>
  <si>
    <t>±1,556</t>
  </si>
  <si>
    <t>101,097</t>
  </si>
  <si>
    <t>±7,228</t>
  </si>
  <si>
    <t>41,618</t>
  </si>
  <si>
    <t>±3,856</t>
  </si>
  <si>
    <t>34.3%</t>
  </si>
  <si>
    <t>40,825</t>
  </si>
  <si>
    <t>±3,778</t>
  </si>
  <si>
    <t>13,355</t>
  </si>
  <si>
    <t>±2,074</t>
  </si>
  <si>
    <t>169,415</t>
  </si>
  <si>
    <t>±7,141</t>
  </si>
  <si>
    <t>86,256</t>
  </si>
  <si>
    <t>±5,393</t>
  </si>
  <si>
    <t>19.1%</t>
  </si>
  <si>
    <t>31.2%</t>
  </si>
  <si>
    <t>4,795</t>
  </si>
  <si>
    <t>3,922</t>
  </si>
  <si>
    <t>56,222</t>
  </si>
  <si>
    <t>±5,912</t>
  </si>
  <si>
    <t>31,719</t>
  </si>
  <si>
    <t>±4,189</t>
  </si>
  <si>
    <t>14,190</t>
  </si>
  <si>
    <t>8,364</t>
  </si>
  <si>
    <t>±1,694</t>
  </si>
  <si>
    <t>110,371</t>
  </si>
  <si>
    <t>±6,409</t>
  </si>
  <si>
    <t>71,765</t>
  </si>
  <si>
    <t>±4,917</t>
  </si>
  <si>
    <t>±1,364</t>
  </si>
  <si>
    <t>3,357</t>
  </si>
  <si>
    <t>23,948</t>
  </si>
  <si>
    <t>±3,898</t>
  </si>
  <si>
    <t>17,640</t>
  </si>
  <si>
    <t>±3,107</t>
  </si>
  <si>
    <t>7,136</t>
  </si>
  <si>
    <t>4,394</t>
  </si>
  <si>
    <t>48,865</t>
  </si>
  <si>
    <t>±3,794</t>
  </si>
  <si>
    <t>39,220</t>
  </si>
  <si>
    <t>4,609</t>
  </si>
  <si>
    <t>5.2%</t>
  </si>
  <si>
    <t>3,810</t>
  </si>
  <si>
    <t>26,545</t>
  </si>
  <si>
    <t>±3,447</t>
  </si>
  <si>
    <t>24,404</t>
  </si>
  <si>
    <t>±3,279</t>
  </si>
  <si>
    <t>10,565</t>
  </si>
  <si>
    <t>±1,924</t>
  </si>
  <si>
    <t>8,667</t>
  </si>
  <si>
    <t>63,057</t>
  </si>
  <si>
    <t>±3,740</t>
  </si>
  <si>
    <t>55,918</t>
  </si>
  <si>
    <t>±3,299</t>
  </si>
  <si>
    <t>No cash rent</t>
  </si>
  <si>
    <t>1,152</t>
  </si>
  <si>
    <t>±89</t>
  </si>
  <si>
    <t>1,514</t>
  </si>
  <si>
    <t>±26</t>
  </si>
  <si>
    <t>1,450</t>
  </si>
  <si>
    <t>±47</t>
  </si>
  <si>
    <t>1,058</t>
  </si>
  <si>
    <t>±53</t>
  </si>
  <si>
    <t>1,602</t>
  </si>
  <si>
    <t>±21</t>
  </si>
  <si>
    <t>±35</t>
  </si>
  <si>
    <t>MONTHLY HOUSING COSTS AS A PERCENTAGE OF HOUSEHOLD INCOME IN THE PAST 12 MONTHS</t>
  </si>
  <si>
    <t>Less than $20,000</t>
  </si>
  <si>
    <t>8,433</t>
  </si>
  <si>
    <t>±2,152</t>
  </si>
  <si>
    <t>3,481</t>
  </si>
  <si>
    <t>±1,278</t>
  </si>
  <si>
    <t>4,952</t>
  </si>
  <si>
    <t>±1,445</t>
  </si>
  <si>
    <t>42,117</t>
  </si>
  <si>
    <t>±4,057</t>
  </si>
  <si>
    <t>17,140</t>
  </si>
  <si>
    <t>±2,470</t>
  </si>
  <si>
    <t>24,977</t>
  </si>
  <si>
    <t>±3,520</t>
  </si>
  <si>
    <t>40,856</t>
  </si>
  <si>
    <t>±3,863</t>
  </si>
  <si>
    <t>13,012</t>
  </si>
  <si>
    <t>±2,220</t>
  </si>
  <si>
    <t>27,844</t>
  </si>
  <si>
    <t>±3,387</t>
  </si>
  <si>
    <t>56,461</t>
  </si>
  <si>
    <t>±3,683</t>
  </si>
  <si>
    <t>19,575</t>
  </si>
  <si>
    <t>±2,159</t>
  </si>
  <si>
    <t>36,886</t>
  </si>
  <si>
    <t>±3,448</t>
  </si>
  <si>
    <t>Less than 20 percent</t>
  </si>
  <si>
    <t>101</t>
  </si>
  <si>
    <t>76</t>
  </si>
  <si>
    <t>±136</t>
  </si>
  <si>
    <t>25</t>
  </si>
  <si>
    <t>1,271</t>
  </si>
  <si>
    <t>±498</t>
  </si>
  <si>
    <t>1,077</t>
  </si>
  <si>
    <t>±473</t>
  </si>
  <si>
    <t>194</t>
  </si>
  <si>
    <t>594</t>
  </si>
  <si>
    <t>±380</t>
  </si>
  <si>
    <t>435</t>
  </si>
  <si>
    <t>±287</t>
  </si>
  <si>
    <t>159</t>
  </si>
  <si>
    <t>±266</t>
  </si>
  <si>
    <t>1,091</t>
  </si>
  <si>
    <t>±492</t>
  </si>
  <si>
    <t>363</t>
  </si>
  <si>
    <t>±221</t>
  </si>
  <si>
    <t>728</t>
  </si>
  <si>
    <t>±469</t>
  </si>
  <si>
    <t>20 to 29 percent</t>
  </si>
  <si>
    <t>±555</t>
  </si>
  <si>
    <t>77</t>
  </si>
  <si>
    <t>±94</t>
  </si>
  <si>
    <t>631</t>
  </si>
  <si>
    <t>±527</t>
  </si>
  <si>
    <t>2,910</t>
  </si>
  <si>
    <t>±1,119</t>
  </si>
  <si>
    <t>647</t>
  </si>
  <si>
    <t>±363</t>
  </si>
  <si>
    <t>2,263</t>
  </si>
  <si>
    <t>±1,041</t>
  </si>
  <si>
    <t>1,930</t>
  </si>
  <si>
    <t>±951</t>
  </si>
  <si>
    <t>510</t>
  </si>
  <si>
    <t>1,420</t>
  </si>
  <si>
    <t>±874</t>
  </si>
  <si>
    <t>4,030</t>
  </si>
  <si>
    <t>928</t>
  </si>
  <si>
    <t>3,102</t>
  </si>
  <si>
    <t>±1,103</t>
  </si>
  <si>
    <t>30 percent or more</t>
  </si>
  <si>
    <t>7,624</t>
  </si>
  <si>
    <t>±2,127</t>
  </si>
  <si>
    <t>8.6%</t>
  </si>
  <si>
    <t>3,328</t>
  </si>
  <si>
    <t>±1,264</t>
  </si>
  <si>
    <t>4,296</t>
  </si>
  <si>
    <t>±1,470</t>
  </si>
  <si>
    <t>37,936</t>
  </si>
  <si>
    <t>±4,051</t>
  </si>
  <si>
    <t>15,416</t>
  </si>
  <si>
    <t>±2,434</t>
  </si>
  <si>
    <t>22,520</t>
  </si>
  <si>
    <t>±3,625</t>
  </si>
  <si>
    <t>38,332</t>
  </si>
  <si>
    <t>12,067</t>
  </si>
  <si>
    <t>±2,122</t>
  </si>
  <si>
    <t>10.8%</t>
  </si>
  <si>
    <t>26,265</t>
  </si>
  <si>
    <t>±3,064</t>
  </si>
  <si>
    <t>51,340</t>
  </si>
  <si>
    <t>±3,707</t>
  </si>
  <si>
    <t>18,284</t>
  </si>
  <si>
    <t>33,056</t>
  </si>
  <si>
    <t>±3,408</t>
  </si>
  <si>
    <t>$20,000 to $34,999</t>
  </si>
  <si>
    <t>10,665</t>
  </si>
  <si>
    <t>±2,586</t>
  </si>
  <si>
    <t>3,302</t>
  </si>
  <si>
    <t>7,363</t>
  </si>
  <si>
    <t>41,046</t>
  </si>
  <si>
    <t>16,254</t>
  </si>
  <si>
    <t>24,792</t>
  </si>
  <si>
    <t>±3,932</t>
  </si>
  <si>
    <t>34,172</t>
  </si>
  <si>
    <t>±3,248</t>
  </si>
  <si>
    <t>11,355</t>
  </si>
  <si>
    <t>±1,953</t>
  </si>
  <si>
    <t>22,817</t>
  </si>
  <si>
    <t>±2,875</t>
  </si>
  <si>
    <t>65,033</t>
  </si>
  <si>
    <t>27,901</t>
  </si>
  <si>
    <t>±2,782</t>
  </si>
  <si>
    <t>37,132</t>
  </si>
  <si>
    <t>±3,943</t>
  </si>
  <si>
    <t>995</t>
  </si>
  <si>
    <t>±543</t>
  </si>
  <si>
    <t>4,622</t>
  </si>
  <si>
    <t>4,006</t>
  </si>
  <si>
    <t>616</t>
  </si>
  <si>
    <t>±405</t>
  </si>
  <si>
    <t>3,363</t>
  </si>
  <si>
    <t>±1,047</t>
  </si>
  <si>
    <t>2,381</t>
  </si>
  <si>
    <t>±891</t>
  </si>
  <si>
    <t>982</t>
  </si>
  <si>
    <t>±693</t>
  </si>
  <si>
    <t>6,321</t>
  </si>
  <si>
    <t>±1,734</t>
  </si>
  <si>
    <t>4,834</t>
  </si>
  <si>
    <t>1,487</t>
  </si>
  <si>
    <t>930</t>
  </si>
  <si>
    <t>±781</t>
  </si>
  <si>
    <t>770</t>
  </si>
  <si>
    <t>±780</t>
  </si>
  <si>
    <t>160</t>
  </si>
  <si>
    <t>±162</t>
  </si>
  <si>
    <t>±1,006</t>
  </si>
  <si>
    <t>2,641</t>
  </si>
  <si>
    <t>840</t>
  </si>
  <si>
    <t>±605</t>
  </si>
  <si>
    <t>4,577</t>
  </si>
  <si>
    <t>±1,381</t>
  </si>
  <si>
    <t>3,029</t>
  </si>
  <si>
    <t>±1,141</t>
  </si>
  <si>
    <t>1,548</t>
  </si>
  <si>
    <t>±838</t>
  </si>
  <si>
    <t>7,472</t>
  </si>
  <si>
    <t>±1,715</t>
  </si>
  <si>
    <t>5,562</t>
  </si>
  <si>
    <t>±1,439</t>
  </si>
  <si>
    <t>1,910</t>
  </si>
  <si>
    <t>8,740</t>
  </si>
  <si>
    <t>±2,447</t>
  </si>
  <si>
    <t>1,537</t>
  </si>
  <si>
    <t>±907</t>
  </si>
  <si>
    <t>7,203</t>
  </si>
  <si>
    <t>±2,242</t>
  </si>
  <si>
    <t>32,943</t>
  </si>
  <si>
    <t>±4,093</t>
  </si>
  <si>
    <t>9,607</t>
  </si>
  <si>
    <t>23,336</t>
  </si>
  <si>
    <t>±3,657</t>
  </si>
  <si>
    <t>26,232</t>
  </si>
  <si>
    <t>±3,092</t>
  </si>
  <si>
    <t>5,945</t>
  </si>
  <si>
    <t>20,287</t>
  </si>
  <si>
    <t>±2,744</t>
  </si>
  <si>
    <t>51,240</t>
  </si>
  <si>
    <t>±4,488</t>
  </si>
  <si>
    <t>17,505</t>
  </si>
  <si>
    <t>±1,963</t>
  </si>
  <si>
    <t>11,768</t>
  </si>
  <si>
    <t>7,510</t>
  </si>
  <si>
    <t>18.1%</t>
  </si>
  <si>
    <t>43,267</t>
  </si>
  <si>
    <t>±4,602</t>
  </si>
  <si>
    <t>25,266</t>
  </si>
  <si>
    <t>±3,924</t>
  </si>
  <si>
    <t>34,150</t>
  </si>
  <si>
    <t>±3,808</t>
  </si>
  <si>
    <t>21,714</t>
  </si>
  <si>
    <t>±3,539</t>
  </si>
  <si>
    <t>67,412</t>
  </si>
  <si>
    <t>±4,847</t>
  </si>
  <si>
    <t>35,473</t>
  </si>
  <si>
    <t>±4,373</t>
  </si>
  <si>
    <t>±704</t>
  </si>
  <si>
    <t>1,662</t>
  </si>
  <si>
    <t>±326</t>
  </si>
  <si>
    <t>8,354</t>
  </si>
  <si>
    <t>±1,420</t>
  </si>
  <si>
    <t>7,011</t>
  </si>
  <si>
    <t>±1,237</t>
  </si>
  <si>
    <t>1,343</t>
  </si>
  <si>
    <t>5,418</t>
  </si>
  <si>
    <t>5,105</t>
  </si>
  <si>
    <t>±1,344</t>
  </si>
  <si>
    <t>313</t>
  </si>
  <si>
    <t>12,302</t>
  </si>
  <si>
    <t>±1,937</t>
  </si>
  <si>
    <t>10,793</t>
  </si>
  <si>
    <t>1,509</t>
  </si>
  <si>
    <t>±740</t>
  </si>
  <si>
    <t>4,057</t>
  </si>
  <si>
    <t>±1,330</t>
  </si>
  <si>
    <t>1,400</t>
  </si>
  <si>
    <t>±635</t>
  </si>
  <si>
    <t>2,657</t>
  </si>
  <si>
    <t>±1,225</t>
  </si>
  <si>
    <t>4,286</t>
  </si>
  <si>
    <t>±1,117</t>
  </si>
  <si>
    <t>2,092</t>
  </si>
  <si>
    <t>±741</t>
  </si>
  <si>
    <t>2,194</t>
  </si>
  <si>
    <t>±948</t>
  </si>
  <si>
    <t>7,711</t>
  </si>
  <si>
    <t>±2,055</t>
  </si>
  <si>
    <t>2,602</t>
  </si>
  <si>
    <t>5,109</t>
  </si>
  <si>
    <t>±1,853</t>
  </si>
  <si>
    <t>7,996</t>
  </si>
  <si>
    <t>±1,501</t>
  </si>
  <si>
    <t>4,403</t>
  </si>
  <si>
    <t>±902</t>
  </si>
  <si>
    <t>3,593</t>
  </si>
  <si>
    <t>±1,126</t>
  </si>
  <si>
    <t>5,674</t>
  </si>
  <si>
    <t>1,196</t>
  </si>
  <si>
    <t>±646</t>
  </si>
  <si>
    <t>4,478</t>
  </si>
  <si>
    <t>30,627</t>
  </si>
  <si>
    <t>±4,347</t>
  </si>
  <si>
    <t>±1,931</t>
  </si>
  <si>
    <t>21,729</t>
  </si>
  <si>
    <t>±3,962</t>
  </si>
  <si>
    <t>21,021</t>
  </si>
  <si>
    <t>±3,325</t>
  </si>
  <si>
    <t>4,729</t>
  </si>
  <si>
    <t>16,292</t>
  </si>
  <si>
    <t>±3,132</t>
  </si>
  <si>
    <t>47,114</t>
  </si>
  <si>
    <t>±3,985</t>
  </si>
  <si>
    <t>16,743</t>
  </si>
  <si>
    <t>±2,076</t>
  </si>
  <si>
    <t>30,371</t>
  </si>
  <si>
    <t>14,487</t>
  </si>
  <si>
    <t>±2,418</t>
  </si>
  <si>
    <t>8,649</t>
  </si>
  <si>
    <t>±2,078</t>
  </si>
  <si>
    <t>78,056</t>
  </si>
  <si>
    <t>37,185</t>
  </si>
  <si>
    <t>±4,487</t>
  </si>
  <si>
    <t>44,339</t>
  </si>
  <si>
    <t>±4,143</t>
  </si>
  <si>
    <t>24,572</t>
  </si>
  <si>
    <t>±3,153</t>
  </si>
  <si>
    <t>124,112</t>
  </si>
  <si>
    <t>±6,390</t>
  </si>
  <si>
    <t>55,586</t>
  </si>
  <si>
    <t>±4,679</t>
  </si>
  <si>
    <t>20.8%</t>
  </si>
  <si>
    <t>6,231</t>
  </si>
  <si>
    <t>±1,561</t>
  </si>
  <si>
    <t>3,321</t>
  </si>
  <si>
    <t>±1,202</t>
  </si>
  <si>
    <t>18,279</t>
  </si>
  <si>
    <t>±2,347</t>
  </si>
  <si>
    <t>16,159</t>
  </si>
  <si>
    <t>2,120</t>
  </si>
  <si>
    <t>15,886</t>
  </si>
  <si>
    <t>11,559</t>
  </si>
  <si>
    <t>±2,088</t>
  </si>
  <si>
    <t>4,327</t>
  </si>
  <si>
    <t>±1,440</t>
  </si>
  <si>
    <t>28,557</t>
  </si>
  <si>
    <t>±2,819</t>
  </si>
  <si>
    <t>21,857</t>
  </si>
  <si>
    <t>6,700</t>
  </si>
  <si>
    <t>±1,906</t>
  </si>
  <si>
    <t>5,896</t>
  </si>
  <si>
    <t>±1,612</t>
  </si>
  <si>
    <t>1,003</t>
  </si>
  <si>
    <t>±458</t>
  </si>
  <si>
    <t>4,893</t>
  </si>
  <si>
    <t>±1,460</t>
  </si>
  <si>
    <t>21,276</t>
  </si>
  <si>
    <t>±3,398</t>
  </si>
  <si>
    <t>8,500</t>
  </si>
  <si>
    <t>12,776</t>
  </si>
  <si>
    <t>±3,072</t>
  </si>
  <si>
    <t>14,962</t>
  </si>
  <si>
    <t>±2,503</t>
  </si>
  <si>
    <t>4,479</t>
  </si>
  <si>
    <t>10,483</t>
  </si>
  <si>
    <t>32,715</t>
  </si>
  <si>
    <t>±3,121</t>
  </si>
  <si>
    <t>17,361</t>
  </si>
  <si>
    <t>±2,624</t>
  </si>
  <si>
    <t>15,354</t>
  </si>
  <si>
    <t>±2,244</t>
  </si>
  <si>
    <t>2,360</t>
  </si>
  <si>
    <t>±748</t>
  </si>
  <si>
    <t>846</t>
  </si>
  <si>
    <t>38,501</t>
  </si>
  <si>
    <t>16,212</t>
  </si>
  <si>
    <t>±2,514</t>
  </si>
  <si>
    <t>22,289</t>
  </si>
  <si>
    <t>±3,607</t>
  </si>
  <si>
    <t>13,491</t>
  </si>
  <si>
    <t>3,729</t>
  </si>
  <si>
    <t>±1,572</t>
  </si>
  <si>
    <t>9,762</t>
  </si>
  <si>
    <t>±2,341</t>
  </si>
  <si>
    <t>62,840</t>
  </si>
  <si>
    <t>±4,803</t>
  </si>
  <si>
    <t>29,308</t>
  </si>
  <si>
    <t>±2,707</t>
  </si>
  <si>
    <t>33,532</t>
  </si>
  <si>
    <t>±4,030</t>
  </si>
  <si>
    <t>$75,000 or more</t>
  </si>
  <si>
    <t>39,665</t>
  </si>
  <si>
    <t>44.7%</t>
  </si>
  <si>
    <t>29,773</t>
  </si>
  <si>
    <t>±2,550</t>
  </si>
  <si>
    <t>9,892</t>
  </si>
  <si>
    <t>±2,233</t>
  </si>
  <si>
    <t>±5.0</t>
  </si>
  <si>
    <t>199,611</t>
  </si>
  <si>
    <t>±7,177</t>
  </si>
  <si>
    <t>48.3%</t>
  </si>
  <si>
    <t>145,356</t>
  </si>
  <si>
    <t>±6,150</t>
  </si>
  <si>
    <t>60.5%</t>
  </si>
  <si>
    <t>54,255</t>
  </si>
  <si>
    <t>±5,845</t>
  </si>
  <si>
    <t>31.3%</t>
  </si>
  <si>
    <t>86,435</t>
  </si>
  <si>
    <t>±4,852</t>
  </si>
  <si>
    <t>53,262</t>
  </si>
  <si>
    <t>33,173</t>
  </si>
  <si>
    <t>±4,214</t>
  </si>
  <si>
    <t>23.8%</t>
  </si>
  <si>
    <t>388,840</t>
  </si>
  <si>
    <t>±7,008</t>
  </si>
  <si>
    <t>54.2%</t>
  </si>
  <si>
    <t>300,155</t>
  </si>
  <si>
    <t>±7,487</t>
  </si>
  <si>
    <t>66.5%</t>
  </si>
  <si>
    <t>88,685</t>
  </si>
  <si>
    <t>±5,046</t>
  </si>
  <si>
    <t>33.3%</t>
  </si>
  <si>
    <t>30,507</t>
  </si>
  <si>
    <t>34.4%</t>
  </si>
  <si>
    <t>23,390</t>
  </si>
  <si>
    <t>±2,268</t>
  </si>
  <si>
    <t>49.4%</t>
  </si>
  <si>
    <t>7,117</t>
  </si>
  <si>
    <t>±1,878</t>
  </si>
  <si>
    <t>128,074</t>
  </si>
  <si>
    <t>±7,333</t>
  </si>
  <si>
    <t>31.0%</t>
  </si>
  <si>
    <t>101,146</t>
  </si>
  <si>
    <t>±5,903</t>
  </si>
  <si>
    <t>42.1%</t>
  </si>
  <si>
    <t>26,928</t>
  </si>
  <si>
    <t>±4,237</t>
  </si>
  <si>
    <t>62,482</t>
  </si>
  <si>
    <t>±4,477</t>
  </si>
  <si>
    <t>24.9%</t>
  </si>
  <si>
    <t>40,554</t>
  </si>
  <si>
    <t>±2,960</t>
  </si>
  <si>
    <t>36.3%</t>
  </si>
  <si>
    <t>21,928</t>
  </si>
  <si>
    <t>±3,415</t>
  </si>
  <si>
    <t>243,283</t>
  </si>
  <si>
    <t>±6,752</t>
  </si>
  <si>
    <t>199,372</t>
  </si>
  <si>
    <t>±6,191</t>
  </si>
  <si>
    <t>44.2%</t>
  </si>
  <si>
    <t>43,911</t>
  </si>
  <si>
    <t>±4,346</t>
  </si>
  <si>
    <t>7,654</t>
  </si>
  <si>
    <t>5,007</t>
  </si>
  <si>
    <t>2,647</t>
  </si>
  <si>
    <t>47,007</t>
  </si>
  <si>
    <t>±4,700</t>
  </si>
  <si>
    <t>27,505</t>
  </si>
  <si>
    <t>±3,660</t>
  </si>
  <si>
    <t>19,502</t>
  </si>
  <si>
    <t>±3,352</t>
  </si>
  <si>
    <t>17,968</t>
  </si>
  <si>
    <t>±2,647</t>
  </si>
  <si>
    <t>8,033</t>
  </si>
  <si>
    <t>±1,673</t>
  </si>
  <si>
    <t>9,935</t>
  </si>
  <si>
    <t>±2,166</t>
  </si>
  <si>
    <t>102,923</t>
  </si>
  <si>
    <t>±5,680</t>
  </si>
  <si>
    <t>69,348</t>
  </si>
  <si>
    <t>±5,175</t>
  </si>
  <si>
    <t>33,575</t>
  </si>
  <si>
    <t>±3,488</t>
  </si>
  <si>
    <t>1,504</t>
  </si>
  <si>
    <t>±756</t>
  </si>
  <si>
    <t>1,376</t>
  </si>
  <si>
    <t>±762</t>
  </si>
  <si>
    <t>128</t>
  </si>
  <si>
    <t>24,530</t>
  </si>
  <si>
    <t>16,705</t>
  </si>
  <si>
    <t>±2,920</t>
  </si>
  <si>
    <t>7,825</t>
  </si>
  <si>
    <t>±2,791</t>
  </si>
  <si>
    <t>5,985</t>
  </si>
  <si>
    <t>±1,580</t>
  </si>
  <si>
    <t>4,675</t>
  </si>
  <si>
    <t>1,310</t>
  </si>
  <si>
    <t>42,634</t>
  </si>
  <si>
    <t>±3,260</t>
  </si>
  <si>
    <t>31,435</t>
  </si>
  <si>
    <t>±2,712</t>
  </si>
  <si>
    <t>11,199</t>
  </si>
  <si>
    <t>Zero or negative income</t>
  </si>
  <si>
    <t>2,770</t>
  </si>
  <si>
    <t>±1,170</t>
  </si>
  <si>
    <t>688</t>
  </si>
  <si>
    <t>2,082</t>
  </si>
  <si>
    <t>4,837</t>
  </si>
  <si>
    <t>±1,532</t>
  </si>
  <si>
    <t>2,250</t>
  </si>
  <si>
    <t>±1,068</t>
  </si>
  <si>
    <t>5,444</t>
  </si>
  <si>
    <t>±1,020</t>
  </si>
  <si>
    <t>3,539</t>
  </si>
  <si>
    <t>±1,302</t>
  </si>
  <si>
    <t>7,826</t>
  </si>
  <si>
    <t>±1,500</t>
  </si>
  <si>
    <t>3,191</t>
  </si>
  <si>
    <t>±877</t>
  </si>
  <si>
    <t>4,635</t>
  </si>
  <si>
    <t>±1,256</t>
  </si>
  <si>
    <t>HOUSEHOLD INCOME IN THE PAST 12 MONTHS (IN 2020 INFLATION-ADJUSTED DOLLARS)</t>
  </si>
  <si>
    <t>4,065</t>
  </si>
  <si>
    <t>±613</t>
  </si>
  <si>
    <t>±272</t>
  </si>
  <si>
    <t>2,878</t>
  </si>
  <si>
    <t>±565</t>
  </si>
  <si>
    <t>14,463</t>
  </si>
  <si>
    <t>±1,175</t>
  </si>
  <si>
    <t>5,082</t>
  </si>
  <si>
    <t>±743</t>
  </si>
  <si>
    <t>9,381</t>
  </si>
  <si>
    <t>16,117</t>
  </si>
  <si>
    <t>±1,123</t>
  </si>
  <si>
    <t>3,359</t>
  </si>
  <si>
    <t>±514</t>
  </si>
  <si>
    <t>12,758</t>
  </si>
  <si>
    <t>19,340</t>
  </si>
  <si>
    <t>±1,315</t>
  </si>
  <si>
    <t>5,702</t>
  </si>
  <si>
    <t>±586</t>
  </si>
  <si>
    <t>13,638</t>
  </si>
  <si>
    <t>±961</t>
  </si>
  <si>
    <t>2,654</t>
  </si>
  <si>
    <t>±358</t>
  </si>
  <si>
    <t>600</t>
  </si>
  <si>
    <t>±176</t>
  </si>
  <si>
    <t>±357</t>
  </si>
  <si>
    <t>9,964</t>
  </si>
  <si>
    <t>±867</t>
  </si>
  <si>
    <t>3,198</t>
  </si>
  <si>
    <t>±650</t>
  </si>
  <si>
    <t>6,766</t>
  </si>
  <si>
    <t>±783</t>
  </si>
  <si>
    <t>11,396</t>
  </si>
  <si>
    <t>2,401</t>
  </si>
  <si>
    <t>±429</t>
  </si>
  <si>
    <t>8,995</t>
  </si>
  <si>
    <t>15,483</t>
  </si>
  <si>
    <t>±996</t>
  </si>
  <si>
    <t>3,790</t>
  </si>
  <si>
    <t>±425</t>
  </si>
  <si>
    <t>11,693</t>
  </si>
  <si>
    <t>±952</t>
  </si>
  <si>
    <t>3,213</t>
  </si>
  <si>
    <t>±493</t>
  </si>
  <si>
    <t>953</t>
  </si>
  <si>
    <t>±199</t>
  </si>
  <si>
    <t>2,260</t>
  </si>
  <si>
    <t>14,106</t>
  </si>
  <si>
    <t>±1,090</t>
  </si>
  <si>
    <t>6,073</t>
  </si>
  <si>
    <t>18,866</t>
  </si>
  <si>
    <t>5,729</t>
  </si>
  <si>
    <t>13,137</t>
  </si>
  <si>
    <t>±889</t>
  </si>
  <si>
    <t>20,210</t>
  </si>
  <si>
    <t>6,854</t>
  </si>
  <si>
    <t>±609</t>
  </si>
  <si>
    <t>13,356</t>
  </si>
  <si>
    <t>±805</t>
  </si>
  <si>
    <t>3,797</t>
  </si>
  <si>
    <t>±644</t>
  </si>
  <si>
    <t>1,552</t>
  </si>
  <si>
    <t>±365</t>
  </si>
  <si>
    <t>±462</t>
  </si>
  <si>
    <t>14,397</t>
  </si>
  <si>
    <t>5,283</t>
  </si>
  <si>
    <t>±553</t>
  </si>
  <si>
    <t>9,114</t>
  </si>
  <si>
    <t>±993</t>
  </si>
  <si>
    <t>16,543</t>
  </si>
  <si>
    <t>5,202</t>
  </si>
  <si>
    <t>±589</t>
  </si>
  <si>
    <t>11,341</t>
  </si>
  <si>
    <t>22,662</t>
  </si>
  <si>
    <t>±1,189</t>
  </si>
  <si>
    <t>9,566</t>
  </si>
  <si>
    <t>±696</t>
  </si>
  <si>
    <t>13,096</t>
  </si>
  <si>
    <t>±909</t>
  </si>
  <si>
    <t>5,379</t>
  </si>
  <si>
    <t>±935</t>
  </si>
  <si>
    <t>2,109</t>
  </si>
  <si>
    <t>±537</t>
  </si>
  <si>
    <t>3,270</t>
  </si>
  <si>
    <t>±722</t>
  </si>
  <si>
    <t>17,689</t>
  </si>
  <si>
    <t>±1,269</t>
  </si>
  <si>
    <t>6,905</t>
  </si>
  <si>
    <t>10,784</t>
  </si>
  <si>
    <t>16,018</t>
  </si>
  <si>
    <t>±1,056</t>
  </si>
  <si>
    <t>5,376</t>
  </si>
  <si>
    <t>±610</t>
  </si>
  <si>
    <t>10,642</t>
  </si>
  <si>
    <t>26,588</t>
  </si>
  <si>
    <t>±1,462</t>
  </si>
  <si>
    <t>10,890</t>
  </si>
  <si>
    <t>±908</t>
  </si>
  <si>
    <t>15,698</t>
  </si>
  <si>
    <t>8,879</t>
  </si>
  <si>
    <t>±794</t>
  </si>
  <si>
    <t>3,143</t>
  </si>
  <si>
    <t>±455</t>
  </si>
  <si>
    <t>5,736</t>
  </si>
  <si>
    <t>±715</t>
  </si>
  <si>
    <t>15.1%</t>
  </si>
  <si>
    <t>34,575</t>
  </si>
  <si>
    <t>±1,693</t>
  </si>
  <si>
    <t>14,661</t>
  </si>
  <si>
    <t>±1,206</t>
  </si>
  <si>
    <t>19,914</t>
  </si>
  <si>
    <t>30,963</t>
  </si>
  <si>
    <t>±1,573</t>
  </si>
  <si>
    <t>10,761</t>
  </si>
  <si>
    <t>±667</t>
  </si>
  <si>
    <t>20,202</t>
  </si>
  <si>
    <t>±1,555</t>
  </si>
  <si>
    <t>52,791</t>
  </si>
  <si>
    <t>±1,755</t>
  </si>
  <si>
    <t>23,868</t>
  </si>
  <si>
    <t>±1,120</t>
  </si>
  <si>
    <t>28,923</t>
  </si>
  <si>
    <t>±1,438</t>
  </si>
  <si>
    <t>11,342</t>
  </si>
  <si>
    <t>±754</t>
  </si>
  <si>
    <t>±621</t>
  </si>
  <si>
    <t>6,335</t>
  </si>
  <si>
    <t>±678</t>
  </si>
  <si>
    <t>49,994</t>
  </si>
  <si>
    <t>23,030</t>
  </si>
  <si>
    <t>26,964</t>
  </si>
  <si>
    <t>±1,712</t>
  </si>
  <si>
    <t>37,262</t>
  </si>
  <si>
    <t>±1,787</t>
  </si>
  <si>
    <t>15,874</t>
  </si>
  <si>
    <t>±1,193</t>
  </si>
  <si>
    <t>21,388</t>
  </si>
  <si>
    <t>±1,416</t>
  </si>
  <si>
    <t>82,212</t>
  </si>
  <si>
    <t>39,443</t>
  </si>
  <si>
    <t>42,769</t>
  </si>
  <si>
    <t>±1,825</t>
  </si>
  <si>
    <t>14,467</t>
  </si>
  <si>
    <t>±842</t>
  </si>
  <si>
    <t>6,369</t>
  </si>
  <si>
    <t>±723</t>
  </si>
  <si>
    <t>67,772</t>
  </si>
  <si>
    <t>±2,013</t>
  </si>
  <si>
    <t>37,611</t>
  </si>
  <si>
    <t>±1,600</t>
  </si>
  <si>
    <t>30,161</t>
  </si>
  <si>
    <t>±1,599</t>
  </si>
  <si>
    <t>42,529</t>
  </si>
  <si>
    <t>21,387</t>
  </si>
  <si>
    <t>±1,286</t>
  </si>
  <si>
    <t>21,142</t>
  </si>
  <si>
    <t>126,118</t>
  </si>
  <si>
    <t>±2,546</t>
  </si>
  <si>
    <t>74,259</t>
  </si>
  <si>
    <t>51,859</t>
  </si>
  <si>
    <t>±1,683</t>
  </si>
  <si>
    <t>9,110</t>
  </si>
  <si>
    <t>5,378</t>
  </si>
  <si>
    <t>±608</t>
  </si>
  <si>
    <t>3,732</t>
  </si>
  <si>
    <t>45,650</t>
  </si>
  <si>
    <t>29,799</t>
  </si>
  <si>
    <t>±1,739</t>
  </si>
  <si>
    <t>15,851</t>
  </si>
  <si>
    <t>±1,263</t>
  </si>
  <si>
    <t>24,075</t>
  </si>
  <si>
    <t>15,227</t>
  </si>
  <si>
    <t>±960</t>
  </si>
  <si>
    <t>8,848</t>
  </si>
  <si>
    <t>94,729</t>
  </si>
  <si>
    <t>±2,175</t>
  </si>
  <si>
    <t>67,414</t>
  </si>
  <si>
    <t>±1,983</t>
  </si>
  <si>
    <t>27,315</t>
  </si>
  <si>
    <t>9,660</t>
  </si>
  <si>
    <t>7,444</t>
  </si>
  <si>
    <t>2,216</t>
  </si>
  <si>
    <t>46,315</t>
  </si>
  <si>
    <t>±1,891</t>
  </si>
  <si>
    <t>35,457</t>
  </si>
  <si>
    <t>±1,738</t>
  </si>
  <si>
    <t>10,858</t>
  </si>
  <si>
    <t>23,296</t>
  </si>
  <si>
    <t>16,833</t>
  </si>
  <si>
    <t>±1,137</t>
  </si>
  <si>
    <t>6,463</t>
  </si>
  <si>
    <t>±758</t>
  </si>
  <si>
    <t>118,835</t>
  </si>
  <si>
    <t>94,467</t>
  </si>
  <si>
    <t>±2,611</t>
  </si>
  <si>
    <t>22.5%</t>
  </si>
  <si>
    <t>24,368</t>
  </si>
  <si>
    <t>10,959</t>
  </si>
  <si>
    <t>±662</t>
  </si>
  <si>
    <t>10,154</t>
  </si>
  <si>
    <t>±654</t>
  </si>
  <si>
    <t>805</t>
  </si>
  <si>
    <t>±232</t>
  </si>
  <si>
    <t>33,884</t>
  </si>
  <si>
    <t>±1,492</t>
  </si>
  <si>
    <t>29,550</t>
  </si>
  <si>
    <t>±1,526</t>
  </si>
  <si>
    <t>15.0%</t>
  </si>
  <si>
    <t>4,334</t>
  </si>
  <si>
    <t>18,691</t>
  </si>
  <si>
    <t>16,086</t>
  </si>
  <si>
    <t>2,605</t>
  </si>
  <si>
    <t>93,085</t>
  </si>
  <si>
    <t>±2,285</t>
  </si>
  <si>
    <t>82,707</t>
  </si>
  <si>
    <t>±2,222</t>
  </si>
  <si>
    <t>10,378</t>
  </si>
  <si>
    <t>53,620</t>
  </si>
  <si>
    <t>75,948</t>
  </si>
  <si>
    <t>±4,356</t>
  </si>
  <si>
    <t>36,166</t>
  </si>
  <si>
    <t>±2,083</t>
  </si>
  <si>
    <t>55,531</t>
  </si>
  <si>
    <t>72,322</t>
  </si>
  <si>
    <t>41,010</t>
  </si>
  <si>
    <t>±979</t>
  </si>
  <si>
    <t>41,864</t>
  </si>
  <si>
    <t>±733</t>
  </si>
  <si>
    <t>60,976</t>
  </si>
  <si>
    <t>30,973</t>
  </si>
  <si>
    <t>68,454</t>
  </si>
  <si>
    <t>±753</t>
  </si>
  <si>
    <t>87,425</t>
  </si>
  <si>
    <t>±945</t>
  </si>
  <si>
    <t>45,242</t>
  </si>
  <si>
    <t>2,752</t>
  </si>
  <si>
    <t>1,313</t>
  </si>
  <si>
    <t>±281</t>
  </si>
  <si>
    <t>20,080</t>
  </si>
  <si>
    <t>±1,257</t>
  </si>
  <si>
    <t>15,094</t>
  </si>
  <si>
    <t>4,986</t>
  </si>
  <si>
    <t>±535</t>
  </si>
  <si>
    <t>14,220</t>
  </si>
  <si>
    <t>10,167</t>
  </si>
  <si>
    <t>4,053</t>
  </si>
  <si>
    <t>±467</t>
  </si>
  <si>
    <t>21,165</t>
  </si>
  <si>
    <t>12,739</t>
  </si>
  <si>
    <t>±824</t>
  </si>
  <si>
    <t>8,426</t>
  </si>
  <si>
    <t>±666</t>
  </si>
  <si>
    <t>8,007</t>
  </si>
  <si>
    <t>±875</t>
  </si>
  <si>
    <t>6,326</t>
  </si>
  <si>
    <t>±800</t>
  </si>
  <si>
    <t>1,681</t>
  </si>
  <si>
    <t>±342</t>
  </si>
  <si>
    <t>29,408</t>
  </si>
  <si>
    <t>±1,496</t>
  </si>
  <si>
    <t>25,579</t>
  </si>
  <si>
    <t>±1,428</t>
  </si>
  <si>
    <t>3,829</t>
  </si>
  <si>
    <t>24,402</t>
  </si>
  <si>
    <t>±1,222</t>
  </si>
  <si>
    <t>18,870</t>
  </si>
  <si>
    <t>±1,027</t>
  </si>
  <si>
    <t>5,532</t>
  </si>
  <si>
    <t>45,496</t>
  </si>
  <si>
    <t>±1,534</t>
  </si>
  <si>
    <t>37,730</t>
  </si>
  <si>
    <t>7,766</t>
  </si>
  <si>
    <t>18,931</t>
  </si>
  <si>
    <t>±1,313</t>
  </si>
  <si>
    <t>8,329</t>
  </si>
  <si>
    <t>±840</t>
  </si>
  <si>
    <t>10,602</t>
  </si>
  <si>
    <t>±1,013</t>
  </si>
  <si>
    <t>51,757</t>
  </si>
  <si>
    <t>±1,887</t>
  </si>
  <si>
    <t>31,535</t>
  </si>
  <si>
    <t>±1,324</t>
  </si>
  <si>
    <t>20,222</t>
  </si>
  <si>
    <t>55,792</t>
  </si>
  <si>
    <t>±1,810</t>
  </si>
  <si>
    <t>22,288</t>
  </si>
  <si>
    <t>33,504</t>
  </si>
  <si>
    <t>±1,601</t>
  </si>
  <si>
    <t>78,527</t>
  </si>
  <si>
    <t>±2,148</t>
  </si>
  <si>
    <t>56,995</t>
  </si>
  <si>
    <t>21,532</t>
  </si>
  <si>
    <t>15,005</t>
  </si>
  <si>
    <t>±1,219</t>
  </si>
  <si>
    <t>5,390</t>
  </si>
  <si>
    <t>9,615</t>
  </si>
  <si>
    <t>25.4%</t>
  </si>
  <si>
    <t>49,392</t>
  </si>
  <si>
    <t>±2,051</t>
  </si>
  <si>
    <t>19,009</t>
  </si>
  <si>
    <t>30,383</t>
  </si>
  <si>
    <t>±1,663</t>
  </si>
  <si>
    <t>52,522</t>
  </si>
  <si>
    <t>±2,006</t>
  </si>
  <si>
    <t>14,762</t>
  </si>
  <si>
    <t>37,760</t>
  </si>
  <si>
    <t>±1,689</t>
  </si>
  <si>
    <t>68,984</t>
  </si>
  <si>
    <t>±2,226</t>
  </si>
  <si>
    <t>28,791</t>
  </si>
  <si>
    <t>±1,334</t>
  </si>
  <si>
    <t>40,193</t>
  </si>
  <si>
    <t>±1,587</t>
  </si>
  <si>
    <t>21,019</t>
  </si>
  <si>
    <t>±1,107</t>
  </si>
  <si>
    <t>10,095</t>
  </si>
  <si>
    <t>±709</t>
  </si>
  <si>
    <t>28.8%</t>
  </si>
  <si>
    <t>111,751</t>
  </si>
  <si>
    <t>±2,721</t>
  </si>
  <si>
    <t>32.0%</t>
  </si>
  <si>
    <t>48,092</t>
  </si>
  <si>
    <t>±2,059</t>
  </si>
  <si>
    <t>41.8%</t>
  </si>
  <si>
    <t>70,538</t>
  </si>
  <si>
    <t>±2,303</t>
  </si>
  <si>
    <t>27.6%</t>
  </si>
  <si>
    <t>28,433</t>
  </si>
  <si>
    <t>±1,510</t>
  </si>
  <si>
    <t>24.0%</t>
  </si>
  <si>
    <t>190,566</t>
  </si>
  <si>
    <t>±2,783</t>
  </si>
  <si>
    <t>28.4%</t>
  </si>
  <si>
    <t>87,966</t>
  </si>
  <si>
    <t>40.5%</t>
  </si>
  <si>
    <t>7,076</t>
  </si>
  <si>
    <t>5,375</t>
  </si>
  <si>
    <t>±513</t>
  </si>
  <si>
    <t>50,213</t>
  </si>
  <si>
    <t>±2,151</t>
  </si>
  <si>
    <t>31,473</t>
  </si>
  <si>
    <t>19,607</t>
  </si>
  <si>
    <t>11,821</t>
  </si>
  <si>
    <t>±802</t>
  </si>
  <si>
    <t>135,134</t>
  </si>
  <si>
    <t>89,252</t>
  </si>
  <si>
    <t>±2,254</t>
  </si>
  <si>
    <t>3,545</t>
  </si>
  <si>
    <t>±506</t>
  </si>
  <si>
    <t>16,968</t>
  </si>
  <si>
    <t>±1,303</t>
  </si>
  <si>
    <t>13,190</t>
  </si>
  <si>
    <t>6,667</t>
  </si>
  <si>
    <t>5,493</t>
  </si>
  <si>
    <t>±834</t>
  </si>
  <si>
    <t>65,500</t>
  </si>
  <si>
    <t>±2,004</t>
  </si>
  <si>
    <t>53,411</t>
  </si>
  <si>
    <t>2,083</t>
  </si>
  <si>
    <t>±328</t>
  </si>
  <si>
    <t>1,856</t>
  </si>
  <si>
    <t>±311</t>
  </si>
  <si>
    <t>6,634</t>
  </si>
  <si>
    <t>±675</t>
  </si>
  <si>
    <t>6,181</t>
  </si>
  <si>
    <t>±681</t>
  </si>
  <si>
    <t>2,711</t>
  </si>
  <si>
    <t>±406</t>
  </si>
  <si>
    <t>2,449</t>
  </si>
  <si>
    <t>30,752</t>
  </si>
  <si>
    <t>27,197</t>
  </si>
  <si>
    <t>±1,289</t>
  </si>
  <si>
    <t>2,593</t>
  </si>
  <si>
    <t>±440</t>
  </si>
  <si>
    <t>2,359</t>
  </si>
  <si>
    <t>±421</t>
  </si>
  <si>
    <t>7,119</t>
  </si>
  <si>
    <t>6,496</t>
  </si>
  <si>
    <t>4,221</t>
  </si>
  <si>
    <t>3,952</t>
  </si>
  <si>
    <t>±558</t>
  </si>
  <si>
    <t>27,363</t>
  </si>
  <si>
    <t>±1,067</t>
  </si>
  <si>
    <t>24,879</t>
  </si>
  <si>
    <t>±1,094</t>
  </si>
  <si>
    <t>1,001</t>
  </si>
  <si>
    <t>1,082</t>
  </si>
  <si>
    <t>±9</t>
  </si>
  <si>
    <t>1,071</t>
  </si>
  <si>
    <t>±20</t>
  </si>
  <si>
    <t>913</t>
  </si>
  <si>
    <t>909</t>
  </si>
  <si>
    <t>±16</t>
  </si>
  <si>
    <t>1,299</t>
  </si>
  <si>
    <t>1,423</t>
  </si>
  <si>
    <t>±11</t>
  </si>
  <si>
    <t>11,208</t>
  </si>
  <si>
    <t>3,767</t>
  </si>
  <si>
    <t>±476</t>
  </si>
  <si>
    <t>7,441</t>
  </si>
  <si>
    <t>44,235</t>
  </si>
  <si>
    <t>±1,969</t>
  </si>
  <si>
    <t>17,331</t>
  </si>
  <si>
    <t>±1,166</t>
  </si>
  <si>
    <t>26,904</t>
  </si>
  <si>
    <t>52,646</t>
  </si>
  <si>
    <t>±1,645</t>
  </si>
  <si>
    <t>14,999</t>
  </si>
  <si>
    <t>±1,184</t>
  </si>
  <si>
    <t>37,647</t>
  </si>
  <si>
    <t>27.4%</t>
  </si>
  <si>
    <t>67,434</t>
  </si>
  <si>
    <t>23,565</t>
  </si>
  <si>
    <t>43,869</t>
  </si>
  <si>
    <t>±1,524</t>
  </si>
  <si>
    <t>675</t>
  </si>
  <si>
    <t>±276</t>
  </si>
  <si>
    <t>±277</t>
  </si>
  <si>
    <t>±107</t>
  </si>
  <si>
    <t>2,574</t>
  </si>
  <si>
    <t>±453</t>
  </si>
  <si>
    <t>1,580</t>
  </si>
  <si>
    <t>±335</t>
  </si>
  <si>
    <t>994</t>
  </si>
  <si>
    <t>±275</t>
  </si>
  <si>
    <t>1,764</t>
  </si>
  <si>
    <t>1,386</t>
  </si>
  <si>
    <t>±351</t>
  </si>
  <si>
    <t>378</t>
  </si>
  <si>
    <t>±139</t>
  </si>
  <si>
    <t>2,835</t>
  </si>
  <si>
    <t>1,359</t>
  </si>
  <si>
    <t>±257</t>
  </si>
  <si>
    <t>1,476</t>
  </si>
  <si>
    <t>±286</t>
  </si>
  <si>
    <t>958</t>
  </si>
  <si>
    <t>±224</t>
  </si>
  <si>
    <t>±174</t>
  </si>
  <si>
    <t>523</t>
  </si>
  <si>
    <t>±165</t>
  </si>
  <si>
    <t>4,689</t>
  </si>
  <si>
    <t>2,559</t>
  </si>
  <si>
    <t>±525</t>
  </si>
  <si>
    <t>2,130</t>
  </si>
  <si>
    <t>±461</t>
  </si>
  <si>
    <t>4,170</t>
  </si>
  <si>
    <t>±485</t>
  </si>
  <si>
    <t>2,005</t>
  </si>
  <si>
    <t>±352</t>
  </si>
  <si>
    <t>2,165</t>
  </si>
  <si>
    <t>±367</t>
  </si>
  <si>
    <t>5,490</t>
  </si>
  <si>
    <t>±583</t>
  </si>
  <si>
    <t>2,291</t>
  </si>
  <si>
    <t>±320</t>
  </si>
  <si>
    <t>3,199</t>
  </si>
  <si>
    <t>±439</t>
  </si>
  <si>
    <t>9,575</t>
  </si>
  <si>
    <t>±797</t>
  </si>
  <si>
    <t>2,836</t>
  </si>
  <si>
    <t>±410</t>
  </si>
  <si>
    <t>6,739</t>
  </si>
  <si>
    <t>36,972</t>
  </si>
  <si>
    <t>±1,783</t>
  </si>
  <si>
    <t>13,192</t>
  </si>
  <si>
    <t>±990</t>
  </si>
  <si>
    <t>23,780</t>
  </si>
  <si>
    <t>46,712</t>
  </si>
  <si>
    <t>±1,476</t>
  </si>
  <si>
    <t>11,608</t>
  </si>
  <si>
    <t>35,104</t>
  </si>
  <si>
    <t>±1,365</t>
  </si>
  <si>
    <t>59,109</t>
  </si>
  <si>
    <t>±1,922</t>
  </si>
  <si>
    <t>19,915</t>
  </si>
  <si>
    <t>39,194</t>
  </si>
  <si>
    <t>14,046</t>
  </si>
  <si>
    <t>5,252</t>
  </si>
  <si>
    <t>8,794</t>
  </si>
  <si>
    <t>50,924</t>
  </si>
  <si>
    <t>±2,203</t>
  </si>
  <si>
    <t>21,566</t>
  </si>
  <si>
    <t>29,358</t>
  </si>
  <si>
    <t>±1,790</t>
  </si>
  <si>
    <t>45,924</t>
  </si>
  <si>
    <t>16,137</t>
  </si>
  <si>
    <t>±923</t>
  </si>
  <si>
    <t>29,787</t>
  </si>
  <si>
    <t>±1,805</t>
  </si>
  <si>
    <t>77,688</t>
  </si>
  <si>
    <t>±2,144</t>
  </si>
  <si>
    <t>34,758</t>
  </si>
  <si>
    <t>±1,521</t>
  </si>
  <si>
    <t>42,930</t>
  </si>
  <si>
    <t>±1,516</t>
  </si>
  <si>
    <t>1,444</t>
  </si>
  <si>
    <t>±285</t>
  </si>
  <si>
    <t>1,117</t>
  </si>
  <si>
    <t>±234</t>
  </si>
  <si>
    <t>327</t>
  </si>
  <si>
    <t>±158</t>
  </si>
  <si>
    <t>7,070</t>
  </si>
  <si>
    <t>±720</t>
  </si>
  <si>
    <t>6,272</t>
  </si>
  <si>
    <t>798</t>
  </si>
  <si>
    <t>±270</t>
  </si>
  <si>
    <t>5,771</t>
  </si>
  <si>
    <t>±597</t>
  </si>
  <si>
    <t>5,065</t>
  </si>
  <si>
    <t>706</t>
  </si>
  <si>
    <t>±251</t>
  </si>
  <si>
    <t>8,574</t>
  </si>
  <si>
    <t>6,961</t>
  </si>
  <si>
    <t>1,613</t>
  </si>
  <si>
    <t>2,928</t>
  </si>
  <si>
    <t>±655</t>
  </si>
  <si>
    <t>1,506</t>
  </si>
  <si>
    <t>±541</t>
  </si>
  <si>
    <t>1,422</t>
  </si>
  <si>
    <t>±400</t>
  </si>
  <si>
    <t>7,225</t>
  </si>
  <si>
    <t>4,359</t>
  </si>
  <si>
    <t>±572</t>
  </si>
  <si>
    <t>7,920</t>
  </si>
  <si>
    <t>±836</t>
  </si>
  <si>
    <t>3,412</t>
  </si>
  <si>
    <t>±479</t>
  </si>
  <si>
    <t>4,508</t>
  </si>
  <si>
    <t>±701</t>
  </si>
  <si>
    <t>10,496</t>
  </si>
  <si>
    <t>6,889</t>
  </si>
  <si>
    <t>3,607</t>
  </si>
  <si>
    <t>±530</t>
  </si>
  <si>
    <t>9,674</t>
  </si>
  <si>
    <t>±1,031</t>
  </si>
  <si>
    <t>2,629</t>
  </si>
  <si>
    <t>7,045</t>
  </si>
  <si>
    <t>36,629</t>
  </si>
  <si>
    <t>10,935</t>
  </si>
  <si>
    <t>25,694</t>
  </si>
  <si>
    <t>32,233</t>
  </si>
  <si>
    <t>±1,604</t>
  </si>
  <si>
    <t>7,660</t>
  </si>
  <si>
    <t>24,573</t>
  </si>
  <si>
    <t>±1,596</t>
  </si>
  <si>
    <t>58,618</t>
  </si>
  <si>
    <t>20,908</t>
  </si>
  <si>
    <t>37,710</t>
  </si>
  <si>
    <t>±1,340</t>
  </si>
  <si>
    <t>11,290</t>
  </si>
  <si>
    <t>6,283</t>
  </si>
  <si>
    <t>48,998</t>
  </si>
  <si>
    <t>±1,978</t>
  </si>
  <si>
    <t>25,968</t>
  </si>
  <si>
    <t>±1,557</t>
  </si>
  <si>
    <t>36,839</t>
  </si>
  <si>
    <t>±1,769</t>
  </si>
  <si>
    <t>20,965</t>
  </si>
  <si>
    <t>±1,403</t>
  </si>
  <si>
    <t>80,695</t>
  </si>
  <si>
    <t>±1,976</t>
  </si>
  <si>
    <t>41,252</t>
  </si>
  <si>
    <t>±1,746</t>
  </si>
  <si>
    <t>3,323</t>
  </si>
  <si>
    <t>±437</t>
  </si>
  <si>
    <t>2,189</t>
  </si>
  <si>
    <t>1,134</t>
  </si>
  <si>
    <t>±309</t>
  </si>
  <si>
    <t>11,658</t>
  </si>
  <si>
    <t>±916</t>
  </si>
  <si>
    <t>±821</t>
  </si>
  <si>
    <t>1,578</t>
  </si>
  <si>
    <t>±353</t>
  </si>
  <si>
    <t>9,298</t>
  </si>
  <si>
    <t>±735</t>
  </si>
  <si>
    <t>7,231</t>
  </si>
  <si>
    <t>±642</t>
  </si>
  <si>
    <t>2,067</t>
  </si>
  <si>
    <t>±370</t>
  </si>
  <si>
    <t>14,929</t>
  </si>
  <si>
    <t>12,394</t>
  </si>
  <si>
    <t>2,535</t>
  </si>
  <si>
    <t>±402</t>
  </si>
  <si>
    <t>1,237</t>
  </si>
  <si>
    <t>±299</t>
  </si>
  <si>
    <t>3,297</t>
  </si>
  <si>
    <t>±524</t>
  </si>
  <si>
    <t>13,533</t>
  </si>
  <si>
    <t>4,807</t>
  </si>
  <si>
    <t>±502</t>
  </si>
  <si>
    <t>8,726</t>
  </si>
  <si>
    <t>±890</t>
  </si>
  <si>
    <t>15,587</t>
  </si>
  <si>
    <t>4,524</t>
  </si>
  <si>
    <t>11,063</t>
  </si>
  <si>
    <t>±1,036</t>
  </si>
  <si>
    <t>19,285</t>
  </si>
  <si>
    <t>7,418</t>
  </si>
  <si>
    <t>11,867</t>
  </si>
  <si>
    <t>±957</t>
  </si>
  <si>
    <t>3,433</t>
  </si>
  <si>
    <t>1,581</t>
  </si>
  <si>
    <t>±390</t>
  </si>
  <si>
    <t>1,852</t>
  </si>
  <si>
    <t>±420</t>
  </si>
  <si>
    <t>23,807</t>
  </si>
  <si>
    <t>±1,382</t>
  </si>
  <si>
    <t>8,143</t>
  </si>
  <si>
    <t>±879</t>
  </si>
  <si>
    <t>15,664</t>
  </si>
  <si>
    <t>11,954</t>
  </si>
  <si>
    <t>±1,171</t>
  </si>
  <si>
    <t>4,119</t>
  </si>
  <si>
    <t>7,835</t>
  </si>
  <si>
    <t>±1,060</t>
  </si>
  <si>
    <t>46,481</t>
  </si>
  <si>
    <t>±1,655</t>
  </si>
  <si>
    <t>19,631</t>
  </si>
  <si>
    <t>26,850</t>
  </si>
  <si>
    <t>±1,399</t>
  </si>
  <si>
    <t>14,264</t>
  </si>
  <si>
    <t>±1,038</t>
  </si>
  <si>
    <t>6,166</t>
  </si>
  <si>
    <t>67,150</t>
  </si>
  <si>
    <t>±2,044</t>
  </si>
  <si>
    <t>29,539</t>
  </si>
  <si>
    <t>±1,597</t>
  </si>
  <si>
    <t>41,976</t>
  </si>
  <si>
    <t>±1,842</t>
  </si>
  <si>
    <t>20,589</t>
  </si>
  <si>
    <t>±1,414</t>
  </si>
  <si>
    <t>124,842</t>
  </si>
  <si>
    <t>50,583</t>
  </si>
  <si>
    <t>±1,666</t>
  </si>
  <si>
    <t>7,503</t>
  </si>
  <si>
    <t>4,392</t>
  </si>
  <si>
    <t>±516</t>
  </si>
  <si>
    <t>3,111</t>
  </si>
  <si>
    <t>±515</t>
  </si>
  <si>
    <t>24,668</t>
  </si>
  <si>
    <t>17,975</t>
  </si>
  <si>
    <t>6,693</t>
  </si>
  <si>
    <t>±690</t>
  </si>
  <si>
    <t>21,225</t>
  </si>
  <si>
    <t>±1,245</t>
  </si>
  <si>
    <t>12,868</t>
  </si>
  <si>
    <t>±930</t>
  </si>
  <si>
    <t>8,357</t>
  </si>
  <si>
    <t>±915</t>
  </si>
  <si>
    <t>36,873</t>
  </si>
  <si>
    <t>28,234</t>
  </si>
  <si>
    <t>±1,204</t>
  </si>
  <si>
    <t>8,639</t>
  </si>
  <si>
    <t>5,263</t>
  </si>
  <si>
    <t>2,684</t>
  </si>
  <si>
    <t>±401</t>
  </si>
  <si>
    <t>2,579</t>
  </si>
  <si>
    <t>28,629</t>
  </si>
  <si>
    <t>12,179</t>
  </si>
  <si>
    <t>16,450</t>
  </si>
  <si>
    <t>15,967</t>
  </si>
  <si>
    <t>±1,069</t>
  </si>
  <si>
    <t>6,021</t>
  </si>
  <si>
    <t>9,946</t>
  </si>
  <si>
    <t>49,140</t>
  </si>
  <si>
    <t>22,073</t>
  </si>
  <si>
    <t>±1,089</t>
  </si>
  <si>
    <t>27,067</t>
  </si>
  <si>
    <t>1,498</t>
  </si>
  <si>
    <t>±340</t>
  </si>
  <si>
    <t>1,022</t>
  </si>
  <si>
    <t>±319</t>
  </si>
  <si>
    <t>476</t>
  </si>
  <si>
    <t>±207</t>
  </si>
  <si>
    <t>±1,247</t>
  </si>
  <si>
    <t>7,457</t>
  </si>
  <si>
    <t>±827</t>
  </si>
  <si>
    <t>6,396</t>
  </si>
  <si>
    <t>±719</t>
  </si>
  <si>
    <t>2,498</t>
  </si>
  <si>
    <t>±465</t>
  </si>
  <si>
    <t>2,286</t>
  </si>
  <si>
    <t>38,829</t>
  </si>
  <si>
    <t>23,952</t>
  </si>
  <si>
    <t>±1,028</t>
  </si>
  <si>
    <t>14,877</t>
  </si>
  <si>
    <t>±928</t>
  </si>
  <si>
    <t>29,480</t>
  </si>
  <si>
    <t>±1,023</t>
  </si>
  <si>
    <t>22,976</t>
  </si>
  <si>
    <t>±978</t>
  </si>
  <si>
    <t>50.4%</t>
  </si>
  <si>
    <t>6,504</t>
  </si>
  <si>
    <t>125,196</t>
  </si>
  <si>
    <t>±2,598</t>
  </si>
  <si>
    <t>35.9%</t>
  </si>
  <si>
    <t>94,806</t>
  </si>
  <si>
    <t>±2,309</t>
  </si>
  <si>
    <t>48.2%</t>
  </si>
  <si>
    <t>30,390</t>
  </si>
  <si>
    <t>65,649</t>
  </si>
  <si>
    <t>25.7%</t>
  </si>
  <si>
    <t>48,146</t>
  </si>
  <si>
    <t>±1,676</t>
  </si>
  <si>
    <t>17,503</t>
  </si>
  <si>
    <t>305,087</t>
  </si>
  <si>
    <t>±2,932</t>
  </si>
  <si>
    <t>244,588</t>
  </si>
  <si>
    <t>±3,057</t>
  </si>
  <si>
    <t>58.4%</t>
  </si>
  <si>
    <t>60,499</t>
  </si>
  <si>
    <t>±1,762</t>
  </si>
  <si>
    <t>24,736</t>
  </si>
  <si>
    <t>29.6%</t>
  </si>
  <si>
    <t>19,140</t>
  </si>
  <si>
    <t>±917</t>
  </si>
  <si>
    <t>5,596</t>
  </si>
  <si>
    <t>±670</t>
  </si>
  <si>
    <t>95,513</t>
  </si>
  <si>
    <t>±2,250</t>
  </si>
  <si>
    <t>73,304</t>
  </si>
  <si>
    <t>±2,218</t>
  </si>
  <si>
    <t>22,209</t>
  </si>
  <si>
    <t>±1,356</t>
  </si>
  <si>
    <t>54,747</t>
  </si>
  <si>
    <t>39,738</t>
  </si>
  <si>
    <t>33.6%</t>
  </si>
  <si>
    <t>15,009</t>
  </si>
  <si>
    <t>203,941</t>
  </si>
  <si>
    <t>±2,951</t>
  </si>
  <si>
    <t>164,190</t>
  </si>
  <si>
    <t>39,751</t>
  </si>
  <si>
    <t>±1,622</t>
  </si>
  <si>
    <t>3,731</t>
  </si>
  <si>
    <t>3,035</t>
  </si>
  <si>
    <t>±442</t>
  </si>
  <si>
    <t>696</t>
  </si>
  <si>
    <t>24,839</t>
  </si>
  <si>
    <t>17,221</t>
  </si>
  <si>
    <t>7,618</t>
  </si>
  <si>
    <t>9,730</t>
  </si>
  <si>
    <t>7,478</t>
  </si>
  <si>
    <t>2,252</t>
  </si>
  <si>
    <t>81,745</t>
  </si>
  <si>
    <t>63,516</t>
  </si>
  <si>
    <t>18,229</t>
  </si>
  <si>
    <t>±991</t>
  </si>
  <si>
    <t>1,013</t>
  </si>
  <si>
    <t>801</t>
  </si>
  <si>
    <t>±212</t>
  </si>
  <si>
    <t>212</t>
  </si>
  <si>
    <t>±126</t>
  </si>
  <si>
    <t>4,844</t>
  </si>
  <si>
    <t>±711</t>
  </si>
  <si>
    <t>4,281</t>
  </si>
  <si>
    <t>563</t>
  </si>
  <si>
    <t>±231</t>
  </si>
  <si>
    <t>1,172</t>
  </si>
  <si>
    <t>±261</t>
  </si>
  <si>
    <t>242</t>
  </si>
  <si>
    <t>19,401</t>
  </si>
  <si>
    <t>16,882</t>
  </si>
  <si>
    <t>2,519</t>
  </si>
  <si>
    <t>±347</t>
  </si>
  <si>
    <t>2,036</t>
  </si>
  <si>
    <t>±528</t>
  </si>
  <si>
    <t>525</t>
  </si>
  <si>
    <t>±195</t>
  </si>
  <si>
    <t>1,511</t>
  </si>
  <si>
    <t>6,819</t>
  </si>
  <si>
    <t>±968</t>
  </si>
  <si>
    <t>2,305</t>
  </si>
  <si>
    <t>4,514</t>
  </si>
  <si>
    <t>±815</t>
  </si>
  <si>
    <t>7,646</t>
  </si>
  <si>
    <t>±769</t>
  </si>
  <si>
    <t>1,692</t>
  </si>
  <si>
    <t>±392</t>
  </si>
  <si>
    <t>5,954</t>
  </si>
  <si>
    <t>7,741</t>
  </si>
  <si>
    <t>2,347</t>
  </si>
  <si>
    <t>±306</t>
  </si>
  <si>
    <t>5,394</t>
  </si>
  <si>
    <t>Total:</t>
  </si>
  <si>
    <t>202,591</t>
  </si>
  <si>
    <t>949,611</t>
  </si>
  <si>
    <t>633,104</t>
  </si>
  <si>
    <t>1,799,674</t>
  </si>
  <si>
    <t>Population of one race:</t>
  </si>
  <si>
    <t>191,033</t>
  </si>
  <si>
    <t>863,393</t>
  </si>
  <si>
    <t>603,557</t>
  </si>
  <si>
    <t>1,653,281</t>
  </si>
  <si>
    <t>White alone</t>
  </si>
  <si>
    <t>88,083</t>
  </si>
  <si>
    <t>475,813</t>
  </si>
  <si>
    <t>158,380</t>
  </si>
  <si>
    <t>971,907</t>
  </si>
  <si>
    <t>Black or African American alone</t>
  </si>
  <si>
    <t>82,340</t>
  </si>
  <si>
    <t>290,279</t>
  </si>
  <si>
    <t>389,779</t>
  </si>
  <si>
    <t>544,740</t>
  </si>
  <si>
    <t>American Indian and Alaska Native alone</t>
  </si>
  <si>
    <t>3,578</t>
  </si>
  <si>
    <t>2,501</t>
  </si>
  <si>
    <t>8,043</t>
  </si>
  <si>
    <t>Asian alone</t>
  </si>
  <si>
    <t>7,143</t>
  </si>
  <si>
    <t>48,617</t>
  </si>
  <si>
    <t>11,624</t>
  </si>
  <si>
    <t>73,979</t>
  </si>
  <si>
    <t>Native Hawaiian and Other Pacific Islander alone</t>
  </si>
  <si>
    <t>78</t>
  </si>
  <si>
    <t>1,054</t>
  </si>
  <si>
    <t>198</t>
  </si>
  <si>
    <t>2,913</t>
  </si>
  <si>
    <t>Some Other Race alone</t>
  </si>
  <si>
    <t>12,193</t>
  </si>
  <si>
    <t>44,052</t>
  </si>
  <si>
    <t>41,075</t>
  </si>
  <si>
    <t>51,699</t>
  </si>
  <si>
    <t>Population of two or more races:</t>
  </si>
  <si>
    <t>11,558</t>
  </si>
  <si>
    <t>86,218</t>
  </si>
  <si>
    <t>29,547</t>
  </si>
  <si>
    <t>146,393</t>
  </si>
  <si>
    <t>Population of two races:</t>
  </si>
  <si>
    <t>80,303</t>
  </si>
  <si>
    <t>27,639</t>
  </si>
  <si>
    <t>132,543</t>
  </si>
  <si>
    <t>White; Black or African American</t>
  </si>
  <si>
    <t>1,843</t>
  </si>
  <si>
    <t>12,814</t>
  </si>
  <si>
    <t>6,217</t>
  </si>
  <si>
    <t>29,210</t>
  </si>
  <si>
    <t>White; American Indian and Alaska Native</t>
  </si>
  <si>
    <t>2,134</t>
  </si>
  <si>
    <t>9,492</t>
  </si>
  <si>
    <t>3,034</t>
  </si>
  <si>
    <t>20,936</t>
  </si>
  <si>
    <t>White; Asian</t>
  </si>
  <si>
    <t>1,040</t>
  </si>
  <si>
    <t>8,490</t>
  </si>
  <si>
    <t>White; Native Hawaiian and Other Pacific Islander</t>
  </si>
  <si>
    <t>58</t>
  </si>
  <si>
    <t>461</t>
  </si>
  <si>
    <t>120</t>
  </si>
  <si>
    <t>1,478</t>
  </si>
  <si>
    <t>White; Some Other Race</t>
  </si>
  <si>
    <t>4,413</t>
  </si>
  <si>
    <t>39,579</t>
  </si>
  <si>
    <t>12,142</t>
  </si>
  <si>
    <t>40,564</t>
  </si>
  <si>
    <t>Black or African American; American Indian and Alaska Native</t>
  </si>
  <si>
    <t>521</t>
  </si>
  <si>
    <t>1,825</t>
  </si>
  <si>
    <t>1,647</t>
  </si>
  <si>
    <t>5,802</t>
  </si>
  <si>
    <t>Black or African American; Asian</t>
  </si>
  <si>
    <t>158</t>
  </si>
  <si>
    <t>1,395</t>
  </si>
  <si>
    <t>405</t>
  </si>
  <si>
    <t>3,401</t>
  </si>
  <si>
    <t>Black or African American; Native Hawaiian and Other Pacific Islander</t>
  </si>
  <si>
    <t>10</t>
  </si>
  <si>
    <t>282</t>
  </si>
  <si>
    <t>503</t>
  </si>
  <si>
    <t>Black or African American; Some Other Race</t>
  </si>
  <si>
    <t>4,420</t>
  </si>
  <si>
    <t>1,534</t>
  </si>
  <si>
    <t>6,658</t>
  </si>
  <si>
    <t>American Indian and Alaska Native; Asian</t>
  </si>
  <si>
    <t>12</t>
  </si>
  <si>
    <t>113</t>
  </si>
  <si>
    <t>38</t>
  </si>
  <si>
    <t>209</t>
  </si>
  <si>
    <t>American Indian and Alaska Native; Native Hawaiian and Other Pacific Islander</t>
  </si>
  <si>
    <t>1</t>
  </si>
  <si>
    <t>23</t>
  </si>
  <si>
    <t>4</t>
  </si>
  <si>
    <t>17</t>
  </si>
  <si>
    <t>American Indian and Alaska Native; Some Other Race</t>
  </si>
  <si>
    <t>132</t>
  </si>
  <si>
    <t>407</t>
  </si>
  <si>
    <t>342</t>
  </si>
  <si>
    <t>Asian; Native Hawaiian and Other Pacific Islander</t>
  </si>
  <si>
    <t>69</t>
  </si>
  <si>
    <t>1,051</t>
  </si>
  <si>
    <t>Asian; Some Other Race</t>
  </si>
  <si>
    <t>55</t>
  </si>
  <si>
    <t>398</t>
  </si>
  <si>
    <t>115</t>
  </si>
  <si>
    <t>662</t>
  </si>
  <si>
    <t>Native Hawaiian and Other Pacific Islander; Some Other Race</t>
  </si>
  <si>
    <t>3</t>
  </si>
  <si>
    <t>108</t>
  </si>
  <si>
    <t>42</t>
  </si>
  <si>
    <t>191</t>
  </si>
  <si>
    <t>Population of three races:</t>
  </si>
  <si>
    <t>713</t>
  </si>
  <si>
    <t>5,115</t>
  </si>
  <si>
    <t>1,705</t>
  </si>
  <si>
    <t>12,127</t>
  </si>
  <si>
    <t>White; Black or African American; American Indian and Alaska Native</t>
  </si>
  <si>
    <t>311</t>
  </si>
  <si>
    <t>1,466</t>
  </si>
  <si>
    <t>695</t>
  </si>
  <si>
    <t>4,268</t>
  </si>
  <si>
    <t>White; Black or African American; Asian</t>
  </si>
  <si>
    <t>41</t>
  </si>
  <si>
    <t>613</t>
  </si>
  <si>
    <t>131</t>
  </si>
  <si>
    <t>1,648</t>
  </si>
  <si>
    <t>White; Black or African American; Native Hawaiian and Other Pacific Islander</t>
  </si>
  <si>
    <t>71</t>
  </si>
  <si>
    <t>30</t>
  </si>
  <si>
    <t>White; Black or African American; Some Other Race</t>
  </si>
  <si>
    <t>109</t>
  </si>
  <si>
    <t>244</t>
  </si>
  <si>
    <t>1,680</t>
  </si>
  <si>
    <t>White; American Indian and Alaska Native; Asian</t>
  </si>
  <si>
    <t>296</t>
  </si>
  <si>
    <t>95</t>
  </si>
  <si>
    <t>831</t>
  </si>
  <si>
    <t>White; American Indian and Alaska Native; Native Hawaiian and Other Pacific Islander</t>
  </si>
  <si>
    <t>29</t>
  </si>
  <si>
    <t>9</t>
  </si>
  <si>
    <t>White; American Indian and Alaska Native; Some Other Race</t>
  </si>
  <si>
    <t>138</t>
  </si>
  <si>
    <t>615</t>
  </si>
  <si>
    <t>299</t>
  </si>
  <si>
    <t>1,064</t>
  </si>
  <si>
    <t>White; Asian; Native Hawaiian and Other Pacific Islander</t>
  </si>
  <si>
    <t>20</t>
  </si>
  <si>
    <t>248</t>
  </si>
  <si>
    <t>63</t>
  </si>
  <si>
    <t>838</t>
  </si>
  <si>
    <t>White; Asian; Some Other Race</t>
  </si>
  <si>
    <t>334</t>
  </si>
  <si>
    <t>52</t>
  </si>
  <si>
    <t>785</t>
  </si>
  <si>
    <t>White; Native Hawaiian and Other Pacific Islander; Some Other Race</t>
  </si>
  <si>
    <t>5</t>
  </si>
  <si>
    <t>19</t>
  </si>
  <si>
    <t>6</t>
  </si>
  <si>
    <t>Black or African American; American Indian and Alaska Native; Asian</t>
  </si>
  <si>
    <t>40</t>
  </si>
  <si>
    <t>121</t>
  </si>
  <si>
    <t>Black or African American; American Indian and Alaska Native; Native Hawaiian and Other Pacific Islander</t>
  </si>
  <si>
    <t>2</t>
  </si>
  <si>
    <t>33</t>
  </si>
  <si>
    <t>Black or African American; American Indian and Alaska Native; Some Other Race</t>
  </si>
  <si>
    <t>14</t>
  </si>
  <si>
    <t>83</t>
  </si>
  <si>
    <t>27</t>
  </si>
  <si>
    <t>221</t>
  </si>
  <si>
    <t>Black or African American; Asian; Native Hawaiian and Other Pacific Islander</t>
  </si>
  <si>
    <t>79</t>
  </si>
  <si>
    <t>28</t>
  </si>
  <si>
    <t>240</t>
  </si>
  <si>
    <t>Black or African American; Asian; Some Other Race</t>
  </si>
  <si>
    <t>8</t>
  </si>
  <si>
    <t>Black or African American; Native Hawaiian and Other Pacific Islander; Some Other Race</t>
  </si>
  <si>
    <t>21</t>
  </si>
  <si>
    <t>American Indian and Alaska Native; Asian; Native Hawaiian and Other Pacific Islander</t>
  </si>
  <si>
    <t>American Indian and Alaska Native; Asian; Some Other Race</t>
  </si>
  <si>
    <t>American Indian and Alaska Native; Native Hawaiian and Other Pacific Islander; Some Other Race</t>
  </si>
  <si>
    <t>Asian; Native Hawaiian and Other Pacific Islander; Some Other Race</t>
  </si>
  <si>
    <t>Population of four races:</t>
  </si>
  <si>
    <t>73</t>
  </si>
  <si>
    <t>727</t>
  </si>
  <si>
    <t>167</t>
  </si>
  <si>
    <t>1,564</t>
  </si>
  <si>
    <t>White; Black or African American; American Indian and Alaska Native; Asian</t>
  </si>
  <si>
    <t>11</t>
  </si>
  <si>
    <t>118</t>
  </si>
  <si>
    <t>48</t>
  </si>
  <si>
    <t>502</t>
  </si>
  <si>
    <t>White; Black or African American; American Indian and Alaska Native; Native Hawaiian and Other Pacific Islander</t>
  </si>
  <si>
    <t>13</t>
  </si>
  <si>
    <t>White; Black or African American; American Indian and Alaska Native; Some Other Race</t>
  </si>
  <si>
    <t>384</t>
  </si>
  <si>
    <t>605</t>
  </si>
  <si>
    <t>White; Black or African American; Asian; Native Hawaiian and Other Pacific Islander</t>
  </si>
  <si>
    <t>7</t>
  </si>
  <si>
    <t>White; Black or African American; Asian; Some Other Race</t>
  </si>
  <si>
    <t>White; Black or African American; Native Hawaiian and Other Pacific Islander; Some Other Race</t>
  </si>
  <si>
    <t>White; American Indian and Alaska Native; Asian; Native Hawaiian and Other Pacific Islander</t>
  </si>
  <si>
    <t>36</t>
  </si>
  <si>
    <t>87</t>
  </si>
  <si>
    <t>White; American Indian and Alaska Native; Asian; Some Other Race</t>
  </si>
  <si>
    <t>43</t>
  </si>
  <si>
    <t>White; American Indian and Alaska Native; Native Hawaiian and Other Pacific Islander; Some Other Race</t>
  </si>
  <si>
    <t>White; Asian; Native Hawaiian and Other Pacific Islander; Some Other Race</t>
  </si>
  <si>
    <t>34</t>
  </si>
  <si>
    <t>Black or African American; American Indian and Alaska Native; Asian; Native Hawaiian and Other Pacific Islander</t>
  </si>
  <si>
    <t>Black or African American; American Indian and Alaska Native; Asian; Some Other Race</t>
  </si>
  <si>
    <t>Black or African American; American Indian and Alaska Native; Native Hawaiian and Other Pacific Islander; Some Other Race</t>
  </si>
  <si>
    <t>Black or African American; Asian; Native Hawaiian and Other Pacific Islander; Some Other Race</t>
  </si>
  <si>
    <t>American Indian and Alaska Native; Asian; Native Hawaiian and Other Pacific Islander; Some Other Race</t>
  </si>
  <si>
    <t>Population of five races:</t>
  </si>
  <si>
    <t>154</t>
  </si>
  <si>
    <t>White; Black or African American; American Indian and Alaska Native; Asian; Native Hawaiian and Other Pacific Islander</t>
  </si>
  <si>
    <t>24</t>
  </si>
  <si>
    <t>60</t>
  </si>
  <si>
    <t>White; Black or African American; American Indian and Alaska Native; Asian; Some Other Race</t>
  </si>
  <si>
    <t>45</t>
  </si>
  <si>
    <t>15</t>
  </si>
  <si>
    <t>70</t>
  </si>
  <si>
    <t>White; Black or African American; American Indian and Alaska Native; Native Hawaiian and Other Pacific Islander; Some Other Race</t>
  </si>
  <si>
    <t>White; Black or African American; Asian; Native Hawaiian and Other Pacific Islander; Some Other Race</t>
  </si>
  <si>
    <t>White; American Indian and Alaska Native; Asian; Native Hawaiian and Other Pacific Islander; Some Other Race</t>
  </si>
  <si>
    <t>Black or African American; American Indian and Alaska Native; Asian; Native Hawaiian and Other Pacific Islander; Some Other Race</t>
  </si>
  <si>
    <t>Population of six races:</t>
  </si>
  <si>
    <t>White; Black or African American; American Indian and Alaska Native; Asian; Native Hawaiian and Other Pacific Islander; Some Other Race</t>
  </si>
  <si>
    <t>SEX AND AGE</t>
  </si>
  <si>
    <t>Total population</t>
  </si>
  <si>
    <t>204,793</t>
  </si>
  <si>
    <t>±68</t>
  </si>
  <si>
    <t>1,009,831</t>
  </si>
  <si>
    <t>±22</t>
  </si>
  <si>
    <t>610,936</t>
  </si>
  <si>
    <t>1,796,689</t>
  </si>
  <si>
    <t>±4,440</t>
  </si>
  <si>
    <t>Male</t>
  </si>
  <si>
    <t>98,539</t>
  </si>
  <si>
    <t>±3,136</t>
  </si>
  <si>
    <t>48.1%</t>
  </si>
  <si>
    <t>489,191</t>
  </si>
  <si>
    <t>±1,479</t>
  </si>
  <si>
    <t>288,142</t>
  </si>
  <si>
    <t>±4,448</t>
  </si>
  <si>
    <t>884,794</t>
  </si>
  <si>
    <t>±4,682</t>
  </si>
  <si>
    <t>49.2%</t>
  </si>
  <si>
    <t>Female</t>
  </si>
  <si>
    <t>106,254</t>
  </si>
  <si>
    <t>±3,143</t>
  </si>
  <si>
    <t>51.9%</t>
  </si>
  <si>
    <t>520,640</t>
  </si>
  <si>
    <t>51.6%</t>
  </si>
  <si>
    <t>322,794</t>
  </si>
  <si>
    <t>52.8%</t>
  </si>
  <si>
    <t>911,895</t>
  </si>
  <si>
    <t>±4,662</t>
  </si>
  <si>
    <t>Sex ratio (males per 100 females)</t>
  </si>
  <si>
    <t>92.7</t>
  </si>
  <si>
    <t>94.0</t>
  </si>
  <si>
    <t>89.3</t>
  </si>
  <si>
    <t>97.0</t>
  </si>
  <si>
    <t>Under 5 years</t>
  </si>
  <si>
    <t>14,196</t>
  </si>
  <si>
    <t>61,503</t>
  </si>
  <si>
    <t>44,399</t>
  </si>
  <si>
    <t>±2,679</t>
  </si>
  <si>
    <t>102,324</t>
  </si>
  <si>
    <t>±1,845</t>
  </si>
  <si>
    <t>5 to 9 years</t>
  </si>
  <si>
    <t>14,757</t>
  </si>
  <si>
    <t>±2,785</t>
  </si>
  <si>
    <t>62,946</t>
  </si>
  <si>
    <t>±3,748</t>
  </si>
  <si>
    <t>38,299</t>
  </si>
  <si>
    <t>±3,877</t>
  </si>
  <si>
    <t>104,478</t>
  </si>
  <si>
    <t>±4,557</t>
  </si>
  <si>
    <t>10 to 14 years</t>
  </si>
  <si>
    <t>13,619</t>
  </si>
  <si>
    <t>62,114</t>
  </si>
  <si>
    <t>±3,702</t>
  </si>
  <si>
    <t>43,996</t>
  </si>
  <si>
    <t>±4,352</t>
  </si>
  <si>
    <t>116,636</t>
  </si>
  <si>
    <t>±4,345</t>
  </si>
  <si>
    <t>15 to 19 years</t>
  </si>
  <si>
    <t>14,061</t>
  </si>
  <si>
    <t>61,064</t>
  </si>
  <si>
    <t>40,890</t>
  </si>
  <si>
    <t>±2,374</t>
  </si>
  <si>
    <t>116,357</t>
  </si>
  <si>
    <t>±3,572</t>
  </si>
  <si>
    <t>20 to 24 years</t>
  </si>
  <si>
    <t>15,814</t>
  </si>
  <si>
    <t>±2,259</t>
  </si>
  <si>
    <t>66,700</t>
  </si>
  <si>
    <t>43,304</t>
  </si>
  <si>
    <t>124,463</t>
  </si>
  <si>
    <t>±4,187</t>
  </si>
  <si>
    <t>25 to 34 years</t>
  </si>
  <si>
    <t>30,929</t>
  </si>
  <si>
    <t>±2,804</t>
  </si>
  <si>
    <t>160,763</t>
  </si>
  <si>
    <t>95,829</t>
  </si>
  <si>
    <t>254,180</t>
  </si>
  <si>
    <t>±3,724</t>
  </si>
  <si>
    <t>35 to 44 years</t>
  </si>
  <si>
    <t>27,450</t>
  </si>
  <si>
    <t>±2,892</t>
  </si>
  <si>
    <t>143,029</t>
  </si>
  <si>
    <t>79,860</t>
  </si>
  <si>
    <t>256,324</t>
  </si>
  <si>
    <t>±3,798</t>
  </si>
  <si>
    <t>45 to 54 years</t>
  </si>
  <si>
    <t>23,044</t>
  </si>
  <si>
    <t>115,247</t>
  </si>
  <si>
    <t>66,290</t>
  </si>
  <si>
    <t>±3,039</t>
  </si>
  <si>
    <t>197,594</t>
  </si>
  <si>
    <t>±3,209</t>
  </si>
  <si>
    <t>55 to 59 years</t>
  </si>
  <si>
    <t>7,937</t>
  </si>
  <si>
    <t>±1,616</t>
  </si>
  <si>
    <t>56,925</t>
  </si>
  <si>
    <t>±3,704</t>
  </si>
  <si>
    <t>28,752</t>
  </si>
  <si>
    <t>97,760</t>
  </si>
  <si>
    <t>±4,727</t>
  </si>
  <si>
    <t>60 to 64 years</t>
  </si>
  <si>
    <t>11,548</t>
  </si>
  <si>
    <t>±2,157</t>
  </si>
  <si>
    <t>61,816</t>
  </si>
  <si>
    <t>33,886</t>
  </si>
  <si>
    <t>±3,223</t>
  </si>
  <si>
    <t>118,410</t>
  </si>
  <si>
    <t>±4,285</t>
  </si>
  <si>
    <t>65 to 74 years</t>
  </si>
  <si>
    <t>19,680</t>
  </si>
  <si>
    <t>93,927</t>
  </si>
  <si>
    <t>59,771</t>
  </si>
  <si>
    <t>182,781</t>
  </si>
  <si>
    <t>±2,397</t>
  </si>
  <si>
    <t>75 to 84 years</t>
  </si>
  <si>
    <t>8,281</t>
  </si>
  <si>
    <t>47,753</t>
  </si>
  <si>
    <t>27,408</t>
  </si>
  <si>
    <t>±1,934</t>
  </si>
  <si>
    <t>97,375</t>
  </si>
  <si>
    <t>85 years and over</t>
  </si>
  <si>
    <t>3,477</t>
  </si>
  <si>
    <t>16,044</t>
  </si>
  <si>
    <t>±1,967</t>
  </si>
  <si>
    <t>8,252</t>
  </si>
  <si>
    <t>±1,377</t>
  </si>
  <si>
    <t>28,007</t>
  </si>
  <si>
    <t>Median age (years)</t>
  </si>
  <si>
    <t>34.7</t>
  </si>
  <si>
    <t>37.0</t>
  </si>
  <si>
    <t>34.8</t>
  </si>
  <si>
    <t>38.1</t>
  </si>
  <si>
    <t>Under 18 years</t>
  </si>
  <si>
    <t>51,621</t>
  </si>
  <si>
    <t>±3,746</t>
  </si>
  <si>
    <t>223,887</t>
  </si>
  <si>
    <t>±1,759</t>
  </si>
  <si>
    <t>154,467</t>
  </si>
  <si>
    <t>±4,462</t>
  </si>
  <si>
    <t>388,665</t>
  </si>
  <si>
    <t>16 years and over</t>
  </si>
  <si>
    <t>159,956</t>
  </si>
  <si>
    <t>±3,739</t>
  </si>
  <si>
    <t>78.1%</t>
  </si>
  <si>
    <t>811,846</t>
  </si>
  <si>
    <t>±2,538</t>
  </si>
  <si>
    <t>80.4%</t>
  </si>
  <si>
    <t>476,523</t>
  </si>
  <si>
    <t>±4,982</t>
  </si>
  <si>
    <t>78.0%</t>
  </si>
  <si>
    <t>1,452,670</t>
  </si>
  <si>
    <t>±4,020</t>
  </si>
  <si>
    <t>80.9%</t>
  </si>
  <si>
    <t>18 years and over</t>
  </si>
  <si>
    <t>153,172</t>
  </si>
  <si>
    <t>±3,751</t>
  </si>
  <si>
    <t>74.8%</t>
  </si>
  <si>
    <t>785,944</t>
  </si>
  <si>
    <t>77.8%</t>
  </si>
  <si>
    <t>456,469</t>
  </si>
  <si>
    <t>±4,459</t>
  </si>
  <si>
    <t>74.7%</t>
  </si>
  <si>
    <t>1,408,024</t>
  </si>
  <si>
    <t>78.4%</t>
  </si>
  <si>
    <t>21 years and over</t>
  </si>
  <si>
    <t>145,157</t>
  </si>
  <si>
    <t>±3,628</t>
  </si>
  <si>
    <t>70.9%</t>
  </si>
  <si>
    <t>748,011</t>
  </si>
  <si>
    <t>±2,769</t>
  </si>
  <si>
    <t>74.1%</t>
  </si>
  <si>
    <t>434,681</t>
  </si>
  <si>
    <t>±5,154</t>
  </si>
  <si>
    <t>71.2%</t>
  </si>
  <si>
    <t>1,331,339</t>
  </si>
  <si>
    <t>±4,635</t>
  </si>
  <si>
    <t>62 years and over</t>
  </si>
  <si>
    <t>38,316</t>
  </si>
  <si>
    <t>±3,050</t>
  </si>
  <si>
    <t>194,278</t>
  </si>
  <si>
    <t>116,766</t>
  </si>
  <si>
    <t>±4,365</t>
  </si>
  <si>
    <t>379,659</t>
  </si>
  <si>
    <t>±4,936</t>
  </si>
  <si>
    <t>65 years and over</t>
  </si>
  <si>
    <t>31,438</t>
  </si>
  <si>
    <t>±2,756</t>
  </si>
  <si>
    <t>157,724</t>
  </si>
  <si>
    <t>±2,073</t>
  </si>
  <si>
    <t>95,431</t>
  </si>
  <si>
    <t>308,163</t>
  </si>
  <si>
    <t>70,515</t>
  </si>
  <si>
    <t>46.0%</t>
  </si>
  <si>
    <t>375,063</t>
  </si>
  <si>
    <t>±1,408</t>
  </si>
  <si>
    <t>208,321</t>
  </si>
  <si>
    <t>±3,771</t>
  </si>
  <si>
    <t>45.6%</t>
  </si>
  <si>
    <t>682,377</t>
  </si>
  <si>
    <t>±2,871</t>
  </si>
  <si>
    <t>48.5%</t>
  </si>
  <si>
    <t>82,657</t>
  </si>
  <si>
    <t>54.0%</t>
  </si>
  <si>
    <t>410,881</t>
  </si>
  <si>
    <t>±1,558</t>
  </si>
  <si>
    <t>52.3%</t>
  </si>
  <si>
    <t>248,148</t>
  </si>
  <si>
    <t>±3,687</t>
  </si>
  <si>
    <t>54.4%</t>
  </si>
  <si>
    <t>725,647</t>
  </si>
  <si>
    <t>±2,799</t>
  </si>
  <si>
    <t>51.5%</t>
  </si>
  <si>
    <t>85.3</t>
  </si>
  <si>
    <t>91.3</t>
  </si>
  <si>
    <t>84.0</t>
  </si>
  <si>
    <t>13,621</t>
  </si>
  <si>
    <t>68,158</t>
  </si>
  <si>
    <t>43.2%</t>
  </si>
  <si>
    <t>38,956</t>
  </si>
  <si>
    <t>135,003</t>
  </si>
  <si>
    <t>43.8%</t>
  </si>
  <si>
    <t>17,817</t>
  </si>
  <si>
    <t>±1,791</t>
  </si>
  <si>
    <t>56.7%</t>
  </si>
  <si>
    <t>89,566</t>
  </si>
  <si>
    <t>±1,487</t>
  </si>
  <si>
    <t>56.8%</t>
  </si>
  <si>
    <t>56,475</t>
  </si>
  <si>
    <t>59.2%</t>
  </si>
  <si>
    <t>173,160</t>
  </si>
  <si>
    <t>±2,043</t>
  </si>
  <si>
    <t>56.2%</t>
  </si>
  <si>
    <t>76.4</t>
  </si>
  <si>
    <t>±7.3</t>
  </si>
  <si>
    <t>76.1</t>
  </si>
  <si>
    <t>69.0</t>
  </si>
  <si>
    <t>78.0</t>
  </si>
  <si>
    <t>RACE</t>
  </si>
  <si>
    <t>One race</t>
  </si>
  <si>
    <t>186,876</t>
  </si>
  <si>
    <t>±4,014</t>
  </si>
  <si>
    <t>91.3%</t>
  </si>
  <si>
    <t>882,424</t>
  </si>
  <si>
    <t>±9,602</t>
  </si>
  <si>
    <t>87.4%</t>
  </si>
  <si>
    <t>575,142</t>
  </si>
  <si>
    <t>±6,102</t>
  </si>
  <si>
    <t>94.1%</t>
  </si>
  <si>
    <t>1,625,611</t>
  </si>
  <si>
    <t>±10,610</t>
  </si>
  <si>
    <t>90.5%</t>
  </si>
  <si>
    <t>Two or More Races</t>
  </si>
  <si>
    <t>17,917</t>
  </si>
  <si>
    <t>±4,007</t>
  </si>
  <si>
    <t>127,407</t>
  </si>
  <si>
    <t>±9,603</t>
  </si>
  <si>
    <t>35,794</t>
  </si>
  <si>
    <t>171,078</t>
  </si>
  <si>
    <t>±9,477</t>
  </si>
  <si>
    <t>White</t>
  </si>
  <si>
    <t>92,710</t>
  </si>
  <si>
    <t>±5,496</t>
  </si>
  <si>
    <t>45.3%</t>
  </si>
  <si>
    <t>491,430</t>
  </si>
  <si>
    <t>±7,139</t>
  </si>
  <si>
    <t>48.7%</t>
  </si>
  <si>
    <t>149,320</t>
  </si>
  <si>
    <t>±6,980</t>
  </si>
  <si>
    <t>966,508</t>
  </si>
  <si>
    <t>±6,511</t>
  </si>
  <si>
    <t>Egyptian</t>
  </si>
  <si>
    <t>210</t>
  </si>
  <si>
    <t>±315</t>
  </si>
  <si>
    <t>1,553</t>
  </si>
  <si>
    <t>±1,379</t>
  </si>
  <si>
    <t>±43</t>
  </si>
  <si>
    <t>411</t>
  </si>
  <si>
    <t>English</t>
  </si>
  <si>
    <t>18,199</t>
  </si>
  <si>
    <t>±4,545</t>
  </si>
  <si>
    <t>73,104</t>
  </si>
  <si>
    <t>±8,574</t>
  </si>
  <si>
    <t>27,371</t>
  </si>
  <si>
    <t>±4,692</t>
  </si>
  <si>
    <t>172,918</t>
  </si>
  <si>
    <t>±10,253</t>
  </si>
  <si>
    <t>German</t>
  </si>
  <si>
    <t>9,127</t>
  </si>
  <si>
    <t>±4,113</t>
  </si>
  <si>
    <t>29,088</t>
  </si>
  <si>
    <t>±4,088</t>
  </si>
  <si>
    <t>7,078</t>
  </si>
  <si>
    <t>±1,778</t>
  </si>
  <si>
    <t>64,566</t>
  </si>
  <si>
    <t>±5,980</t>
  </si>
  <si>
    <t>Irish</t>
  </si>
  <si>
    <t>4,914</t>
  </si>
  <si>
    <t>32,383</t>
  </si>
  <si>
    <t>±4,323</t>
  </si>
  <si>
    <t>10,822</t>
  </si>
  <si>
    <t>±2,411</t>
  </si>
  <si>
    <t>60,763</t>
  </si>
  <si>
    <t>±5,639</t>
  </si>
  <si>
    <t>Italian</t>
  </si>
  <si>
    <t>765</t>
  </si>
  <si>
    <t>±426</t>
  </si>
  <si>
    <t>14,803</t>
  </si>
  <si>
    <t>±2,096</t>
  </si>
  <si>
    <t>3,406</t>
  </si>
  <si>
    <t>±1,124</t>
  </si>
  <si>
    <t>30,605</t>
  </si>
  <si>
    <t>±4,632</t>
  </si>
  <si>
    <t>Lebanese</t>
  </si>
  <si>
    <t>694</t>
  </si>
  <si>
    <t>894</t>
  </si>
  <si>
    <t>±474</t>
  </si>
  <si>
    <t>Other White</t>
  </si>
  <si>
    <t>59,495</t>
  </si>
  <si>
    <t>±5,458</t>
  </si>
  <si>
    <t>29.1%</t>
  </si>
  <si>
    <t>339,805</t>
  </si>
  <si>
    <t>±10,895</t>
  </si>
  <si>
    <t>100,464</t>
  </si>
  <si>
    <t>±5,848</t>
  </si>
  <si>
    <t>636,351</t>
  </si>
  <si>
    <t>±13,202</t>
  </si>
  <si>
    <t>35.4%</t>
  </si>
  <si>
    <t>Black or African American</t>
  </si>
  <si>
    <t>78,623</t>
  </si>
  <si>
    <t>±6,210</t>
  </si>
  <si>
    <t>298,072</t>
  </si>
  <si>
    <t>±6,584</t>
  </si>
  <si>
    <t>379,134</t>
  </si>
  <si>
    <t>±7,893</t>
  </si>
  <si>
    <t>62.1%</t>
  </si>
  <si>
    <t>525,571</t>
  </si>
  <si>
    <t>±7,455</t>
  </si>
  <si>
    <t>African American</t>
  </si>
  <si>
    <t>144,564</t>
  </si>
  <si>
    <t>±12,555</t>
  </si>
  <si>
    <t>331,283</t>
  </si>
  <si>
    <t>±10,979</t>
  </si>
  <si>
    <t>Ethiopian</t>
  </si>
  <si>
    <t>759</t>
  </si>
  <si>
    <t>±870</t>
  </si>
  <si>
    <t>1,812</t>
  </si>
  <si>
    <t>Haitian</t>
  </si>
  <si>
    <t>15,479</t>
  </si>
  <si>
    <t>±9,618</t>
  </si>
  <si>
    <t>2,621</t>
  </si>
  <si>
    <t>Jamaican</t>
  </si>
  <si>
    <t>7,968</t>
  </si>
  <si>
    <t>±3,672</t>
  </si>
  <si>
    <t>5,240</t>
  </si>
  <si>
    <t>±1,682</t>
  </si>
  <si>
    <t>Nigerian</t>
  </si>
  <si>
    <t>1,643</t>
  </si>
  <si>
    <t>2,967</t>
  </si>
  <si>
    <t>±1,772</t>
  </si>
  <si>
    <t>Somali</t>
  </si>
  <si>
    <t>Other Black or African American</t>
  </si>
  <si>
    <t>127,659</t>
  </si>
  <si>
    <t>±13,887</t>
  </si>
  <si>
    <t>181,648</t>
  </si>
  <si>
    <t>±10,084</t>
  </si>
  <si>
    <t>American Indian and Alaska Native</t>
  </si>
  <si>
    <t>527</t>
  </si>
  <si>
    <t>5,723</t>
  </si>
  <si>
    <t>2,253</t>
  </si>
  <si>
    <t>7,701</t>
  </si>
  <si>
    <t>±2,240</t>
  </si>
  <si>
    <t>Aztec</t>
  </si>
  <si>
    <t>Blackfeet Tribe of the Blackfeet Indian Reservation of Montana</t>
  </si>
  <si>
    <t>Maya</t>
  </si>
  <si>
    <t>Native Village of Barrow Inupiat Traditional Government</t>
  </si>
  <si>
    <t>Navajo Nation</t>
  </si>
  <si>
    <t>Nome Eskimo Community</t>
  </si>
  <si>
    <t>Other American Indian and Alaska Native</t>
  </si>
  <si>
    <t>Asian</t>
  </si>
  <si>
    <t>5,593</t>
  </si>
  <si>
    <t>±1,481</t>
  </si>
  <si>
    <t>52,463</t>
  </si>
  <si>
    <t>±3,768</t>
  </si>
  <si>
    <t>8,888</t>
  </si>
  <si>
    <t>±2,108</t>
  </si>
  <si>
    <t>72,775</t>
  </si>
  <si>
    <t>±4,396</t>
  </si>
  <si>
    <t>Asian Indian</t>
  </si>
  <si>
    <t>2,707</t>
  </si>
  <si>
    <t>7,899</t>
  </si>
  <si>
    <t>1,904</t>
  </si>
  <si>
    <t>10,489</t>
  </si>
  <si>
    <t>±3,016</t>
  </si>
  <si>
    <t>Chinese</t>
  </si>
  <si>
    <t>980</t>
  </si>
  <si>
    <t>7,088</t>
  </si>
  <si>
    <t>±2,625</t>
  </si>
  <si>
    <t>1,335</t>
  </si>
  <si>
    <t>±652</t>
  </si>
  <si>
    <t>8,539</t>
  </si>
  <si>
    <t>±2,722</t>
  </si>
  <si>
    <t>Filipino</t>
  </si>
  <si>
    <t>468</t>
  </si>
  <si>
    <t>17,397</t>
  </si>
  <si>
    <t>539</t>
  </si>
  <si>
    <t>±423</t>
  </si>
  <si>
    <t>33,851</t>
  </si>
  <si>
    <t>±4,500</t>
  </si>
  <si>
    <t>Japanese</t>
  </si>
  <si>
    <t>655</t>
  </si>
  <si>
    <t>490</t>
  </si>
  <si>
    <t>±459</t>
  </si>
  <si>
    <t>2,467</t>
  </si>
  <si>
    <t>Korean</t>
  </si>
  <si>
    <t>416</t>
  </si>
  <si>
    <t>1,314</t>
  </si>
  <si>
    <t>963</t>
  </si>
  <si>
    <t>±557</t>
  </si>
  <si>
    <t>5,895</t>
  </si>
  <si>
    <t>Vietnamese</t>
  </si>
  <si>
    <t>480</t>
  </si>
  <si>
    <t>7,041</t>
  </si>
  <si>
    <t>±2,945</t>
  </si>
  <si>
    <t>5,050</t>
  </si>
  <si>
    <t>Other Asian</t>
  </si>
  <si>
    <t>542</t>
  </si>
  <si>
    <t>11,069</t>
  </si>
  <si>
    <t>±4,167</t>
  </si>
  <si>
    <t>2,170</t>
  </si>
  <si>
    <t>6,484</t>
  </si>
  <si>
    <t>Native Hawaiian and Other Pacific Islander</t>
  </si>
  <si>
    <t>304</t>
  </si>
  <si>
    <t>776</t>
  </si>
  <si>
    <t>±329</t>
  </si>
  <si>
    <t>±685</t>
  </si>
  <si>
    <t>1,679</t>
  </si>
  <si>
    <t>Chamorro</t>
  </si>
  <si>
    <t>Native Hawaiian</t>
  </si>
  <si>
    <t>Samoan</t>
  </si>
  <si>
    <t>Other Native Hawaiian and Other Pacific Islander</t>
  </si>
  <si>
    <t>Some Other Race</t>
  </si>
  <si>
    <t>9,119</t>
  </si>
  <si>
    <t>±3,304</t>
  </si>
  <si>
    <t>33,960</t>
  </si>
  <si>
    <t>±5,656</t>
  </si>
  <si>
    <t>34,942</t>
  </si>
  <si>
    <t>±6,789</t>
  </si>
  <si>
    <t>51,377</t>
  </si>
  <si>
    <t>±5,662</t>
  </si>
  <si>
    <t>White and Black or African American</t>
  </si>
  <si>
    <t>2,792</t>
  </si>
  <si>
    <t>16,731</t>
  </si>
  <si>
    <t>±4,512</t>
  </si>
  <si>
    <t>4,659</t>
  </si>
  <si>
    <t>±2,084</t>
  </si>
  <si>
    <t>41,440</t>
  </si>
  <si>
    <t>±5,418</t>
  </si>
  <si>
    <t>White and American Indian and Alaska Native</t>
  </si>
  <si>
    <t>877</t>
  </si>
  <si>
    <t>±471</t>
  </si>
  <si>
    <t>5,382</t>
  </si>
  <si>
    <t>±664</t>
  </si>
  <si>
    <t>1,270</t>
  </si>
  <si>
    <t>±411</t>
  </si>
  <si>
    <t>11,392</t>
  </si>
  <si>
    <t>±1,838</t>
  </si>
  <si>
    <t>White and Asian</t>
  </si>
  <si>
    <t>1,997</t>
  </si>
  <si>
    <t>±1,192</t>
  </si>
  <si>
    <t>14,270</t>
  </si>
  <si>
    <t>±3,920</t>
  </si>
  <si>
    <t>3,139</t>
  </si>
  <si>
    <t>±1,902</t>
  </si>
  <si>
    <t>26,620</t>
  </si>
  <si>
    <t>±3,762</t>
  </si>
  <si>
    <t>White and Some Other Race</t>
  </si>
  <si>
    <t>9,181</t>
  </si>
  <si>
    <t>±2,969</t>
  </si>
  <si>
    <t>67,749</t>
  </si>
  <si>
    <t>±7,722</t>
  </si>
  <si>
    <t>17,907</t>
  </si>
  <si>
    <t>±4,775</t>
  </si>
  <si>
    <t>52,366</t>
  </si>
  <si>
    <t>±4,667</t>
  </si>
  <si>
    <t>Black or African American and American Indian and Alaska Native</t>
  </si>
  <si>
    <t>789</t>
  </si>
  <si>
    <t>2,762</t>
  </si>
  <si>
    <t>±2,027</t>
  </si>
  <si>
    <t>2,534</t>
  </si>
  <si>
    <t>±1,697</t>
  </si>
  <si>
    <t>4,324</t>
  </si>
  <si>
    <t>±1,628</t>
  </si>
  <si>
    <t>Black or African American and Some Other Race</t>
  </si>
  <si>
    <t>552</t>
  </si>
  <si>
    <t>±611</t>
  </si>
  <si>
    <t>6,234</t>
  </si>
  <si>
    <t>±2,050</t>
  </si>
  <si>
    <t>881</t>
  </si>
  <si>
    <t>±1,011</t>
  </si>
  <si>
    <t>7,989</t>
  </si>
  <si>
    <t>±2,706</t>
  </si>
  <si>
    <t>Race alone or in combination with one or more other races</t>
  </si>
  <si>
    <t>108,543</t>
  </si>
  <si>
    <t>±5,913</t>
  </si>
  <si>
    <t>53.0%</t>
  </si>
  <si>
    <t>605,968</t>
  </si>
  <si>
    <t>±7,643</t>
  </si>
  <si>
    <t>60.0%</t>
  </si>
  <si>
    <t>179,718</t>
  </si>
  <si>
    <t>±9,024</t>
  </si>
  <si>
    <t>29.4%</t>
  </si>
  <si>
    <t>1,116,980</t>
  </si>
  <si>
    <t>±9,595</t>
  </si>
  <si>
    <t>62.2%</t>
  </si>
  <si>
    <t>84,157</t>
  </si>
  <si>
    <t>±6,120</t>
  </si>
  <si>
    <t>41.1%</t>
  </si>
  <si>
    <t>335,384</t>
  </si>
  <si>
    <t>33.2%</t>
  </si>
  <si>
    <t>391,660</t>
  </si>
  <si>
    <t>±7,547</t>
  </si>
  <si>
    <t>64.1%</t>
  </si>
  <si>
    <t>598,571</t>
  </si>
  <si>
    <t>±5,816</t>
  </si>
  <si>
    <t>3,283</t>
  </si>
  <si>
    <t>±1,595</t>
  </si>
  <si>
    <t>17,342</t>
  </si>
  <si>
    <t>±4,950</t>
  </si>
  <si>
    <t>9,986</t>
  </si>
  <si>
    <t>±4,118</t>
  </si>
  <si>
    <t>33,130</t>
  </si>
  <si>
    <t>±4,395</t>
  </si>
  <si>
    <t>8,229</t>
  </si>
  <si>
    <t>±1,571</t>
  </si>
  <si>
    <t>72,041</t>
  </si>
  <si>
    <t>±2,800</t>
  </si>
  <si>
    <t>13,977</t>
  </si>
  <si>
    <t>114,679</t>
  </si>
  <si>
    <t>±3,665</t>
  </si>
  <si>
    <t>433</t>
  </si>
  <si>
    <t>±430</t>
  </si>
  <si>
    <t>1,005</t>
  </si>
  <si>
    <t>±911</t>
  </si>
  <si>
    <t>±1,960</t>
  </si>
  <si>
    <t>19,549</t>
  </si>
  <si>
    <t>±3,655</t>
  </si>
  <si>
    <t>115,118</t>
  </si>
  <si>
    <t>±8,392</t>
  </si>
  <si>
    <t>54,742</t>
  </si>
  <si>
    <t>±6,823</t>
  </si>
  <si>
    <t>118,882</t>
  </si>
  <si>
    <t>±6,208</t>
  </si>
  <si>
    <t>HISPANIC OR LATINO AND RACE</t>
  </si>
  <si>
    <t>Hispanic or Latino (of any race)</t>
  </si>
  <si>
    <t>21,919</t>
  </si>
  <si>
    <t>±3,263</t>
  </si>
  <si>
    <t>140,312</t>
  </si>
  <si>
    <t>62,413</t>
  </si>
  <si>
    <t>±4,525</t>
  </si>
  <si>
    <t>153,327</t>
  </si>
  <si>
    <t>±1,536</t>
  </si>
  <si>
    <t>Mexican</t>
  </si>
  <si>
    <t>13,212</t>
  </si>
  <si>
    <t>±3,830</t>
  </si>
  <si>
    <t>29,078</t>
  </si>
  <si>
    <t>±7,167</t>
  </si>
  <si>
    <t>±5,067</t>
  </si>
  <si>
    <t>49,008</t>
  </si>
  <si>
    <t>±6,114</t>
  </si>
  <si>
    <t>Puerto Rican</t>
  </si>
  <si>
    <t>1,108</t>
  </si>
  <si>
    <t>38,304</t>
  </si>
  <si>
    <t>±6,294</t>
  </si>
  <si>
    <t>2,197</t>
  </si>
  <si>
    <t>38,161</t>
  </si>
  <si>
    <t>±5,399</t>
  </si>
  <si>
    <t>Cuban</t>
  </si>
  <si>
    <t>±187</t>
  </si>
  <si>
    <t>22,456</t>
  </si>
  <si>
    <t>±5,414</t>
  </si>
  <si>
    <t>890</t>
  </si>
  <si>
    <t>±671</t>
  </si>
  <si>
    <t>6,987</t>
  </si>
  <si>
    <t>±2,262</t>
  </si>
  <si>
    <t>Other Hispanic or Latino</t>
  </si>
  <si>
    <t>7,455</t>
  </si>
  <si>
    <t>±3,147</t>
  </si>
  <si>
    <t>50,474</t>
  </si>
  <si>
    <t>±7,392</t>
  </si>
  <si>
    <t>29,095</t>
  </si>
  <si>
    <t>±6,181</t>
  </si>
  <si>
    <t>59,171</t>
  </si>
  <si>
    <t>±5,813</t>
  </si>
  <si>
    <t>Not Hispanic or Latino</t>
  </si>
  <si>
    <t>182,874</t>
  </si>
  <si>
    <t>±3,264</t>
  </si>
  <si>
    <t>89.3%</t>
  </si>
  <si>
    <t>869,519</t>
  </si>
  <si>
    <t>86.1%</t>
  </si>
  <si>
    <t>548,523</t>
  </si>
  <si>
    <t>±4,527</t>
  </si>
  <si>
    <t>89.8%</t>
  </si>
  <si>
    <t>1,643,362</t>
  </si>
  <si>
    <t>±4,483</t>
  </si>
  <si>
    <t>91.5%</t>
  </si>
  <si>
    <t>90,838</t>
  </si>
  <si>
    <t>±5,311</t>
  </si>
  <si>
    <t>460,929</t>
  </si>
  <si>
    <t>±5,122</t>
  </si>
  <si>
    <t>141,763</t>
  </si>
  <si>
    <t>±6,519</t>
  </si>
  <si>
    <t>934,738</t>
  </si>
  <si>
    <t>±4,432</t>
  </si>
  <si>
    <t>52.0%</t>
  </si>
  <si>
    <t>78,135</t>
  </si>
  <si>
    <t>±6,213</t>
  </si>
  <si>
    <t>38.2%</t>
  </si>
  <si>
    <t>291,228</t>
  </si>
  <si>
    <t>±6,162</t>
  </si>
  <si>
    <t>376,362</t>
  </si>
  <si>
    <t>±7,396</t>
  </si>
  <si>
    <t>61.6%</t>
  </si>
  <si>
    <t>515,771</t>
  </si>
  <si>
    <t>±7,513</t>
  </si>
  <si>
    <t>545</t>
  </si>
  <si>
    <t>±269</t>
  </si>
  <si>
    <t>522</t>
  </si>
  <si>
    <t>3,140</t>
  </si>
  <si>
    <t>51,959</t>
  </si>
  <si>
    <t>±3,731</t>
  </si>
  <si>
    <t>70,954</t>
  </si>
  <si>
    <t>367</t>
  </si>
  <si>
    <t>1,529</t>
  </si>
  <si>
    <t>±924</t>
  </si>
  <si>
    <t>501</t>
  </si>
  <si>
    <t>±508</t>
  </si>
  <si>
    <t>5,181</t>
  </si>
  <si>
    <t>2,956</t>
  </si>
  <si>
    <t>±2,110</t>
  </si>
  <si>
    <t>9,698</t>
  </si>
  <si>
    <t>±2,632</t>
  </si>
  <si>
    <t>7,553</t>
  </si>
  <si>
    <t>58,901</t>
  </si>
  <si>
    <t>±8,635</t>
  </si>
  <si>
    <t>17,665</t>
  </si>
  <si>
    <t>±5,018</t>
  </si>
  <si>
    <t>107,532</t>
  </si>
  <si>
    <t>±7,833</t>
  </si>
  <si>
    <t>Two races including Some Other Race</t>
  </si>
  <si>
    <t>13,756</t>
  </si>
  <si>
    <t>±4,292</t>
  </si>
  <si>
    <t>1,699</t>
  </si>
  <si>
    <t>±910</t>
  </si>
  <si>
    <t>±2,524</t>
  </si>
  <si>
    <t>Two races excluding Some Other Race, and three or more races</t>
  </si>
  <si>
    <t>6,638</t>
  </si>
  <si>
    <t>±2,134</t>
  </si>
  <si>
    <t>45,145</t>
  </si>
  <si>
    <t>±6,930</t>
  </si>
  <si>
    <t>15,966</t>
  </si>
  <si>
    <t>±4,935</t>
  </si>
  <si>
    <t>96,674</t>
  </si>
  <si>
    <t>±7,145</t>
  </si>
  <si>
    <t>CITIZEN, VOTING AGE POPULATION</t>
  </si>
  <si>
    <t>Citizen, 18 and over population</t>
  </si>
  <si>
    <t>139,676</t>
  </si>
  <si>
    <t>735,123</t>
  </si>
  <si>
    <t>±8,055</t>
  </si>
  <si>
    <t>427,520</t>
  </si>
  <si>
    <t>±4,831</t>
  </si>
  <si>
    <t>1,357,412</t>
  </si>
  <si>
    <t>±5,650</t>
  </si>
  <si>
    <t>63,845</t>
  </si>
  <si>
    <t>45.7%</t>
  </si>
  <si>
    <t>349,183</t>
  </si>
  <si>
    <t>±5,379</t>
  </si>
  <si>
    <t>47.5%</t>
  </si>
  <si>
    <t>193,764</t>
  </si>
  <si>
    <t>±4,043</t>
  </si>
  <si>
    <t>657,949</t>
  </si>
  <si>
    <t>±3,918</t>
  </si>
  <si>
    <t>75,831</t>
  </si>
  <si>
    <t>±2,911</t>
  </si>
  <si>
    <t>54.3%</t>
  </si>
  <si>
    <t>385,940</t>
  </si>
  <si>
    <t>52.5%</t>
  </si>
  <si>
    <t>233,756</t>
  </si>
  <si>
    <t>±3,636</t>
  </si>
  <si>
    <t>54.7%</t>
  </si>
  <si>
    <t>699,463</t>
  </si>
  <si>
    <t>±3,516</t>
  </si>
  <si>
    <t>observation_date</t>
  </si>
  <si>
    <t>Inflation Rate</t>
  </si>
  <si>
    <t>Cumulative Index</t>
  </si>
  <si>
    <t>CPI Index (2024=1)</t>
  </si>
  <si>
    <t>Adjusted Median Income</t>
  </si>
  <si>
    <t>Adjusted Median Rent</t>
  </si>
  <si>
    <t>Adjusted Median Home Value</t>
  </si>
  <si>
    <t>actual change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</si>
</sst>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quot;$&quot;#,##0"/>
    <numFmt numFmtId="167" formatCode="yyyy\-mm\-dd"/>
    <numFmt numFmtId="180" formatCode="0.000"/>
  </numFmts>
  <fonts count="5" x14ac:knownFonts="1">
    <font>
      <sz val="11"/>
      <color theme="1"/>
      <name val="Calibri"/>
      <family val="2"/>
      <scheme val="minor"/>
    </font>
    <font>
      <b/>
      <sz val="16"/>
      <name val="Calibri"/>
      <family val="2"/>
    </font>
    <font>
      <b/>
      <sz val="11"/>
      <name val="Calibri"/>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bottom style="thin">
        <color auto="1"/>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s>
  <cellStyleXfs count="2">
    <xf numFmtId="0" fontId="0" fillId="0" borderId="0"/>
    <xf numFmtId="9" fontId="3" fillId="0" borderId="0" applyFont="0" applyFill="0" applyBorder="0" applyAlignment="0" applyProtection="0"/>
  </cellStyleXfs>
  <cellXfs count="51">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2" xfId="0" applyBorder="1"/>
    <xf numFmtId="0" fontId="4" fillId="0" borderId="2" xfId="0" applyFont="1" applyBorder="1" applyAlignment="1">
      <alignment horizontal="center"/>
    </xf>
    <xf numFmtId="164" fontId="0" fillId="0" borderId="2" xfId="0" applyNumberFormat="1" applyBorder="1"/>
    <xf numFmtId="0" fontId="0" fillId="0" borderId="6" xfId="0" applyBorder="1"/>
    <xf numFmtId="0" fontId="0" fillId="0" borderId="7" xfId="0" applyFill="1" applyBorder="1"/>
    <xf numFmtId="165" fontId="0" fillId="0" borderId="6" xfId="0" applyNumberFormat="1" applyBorder="1"/>
    <xf numFmtId="165" fontId="0" fillId="0" borderId="8" xfId="0" applyNumberFormat="1" applyBorder="1"/>
    <xf numFmtId="165" fontId="0" fillId="0" borderId="7" xfId="0" applyNumberFormat="1" applyBorder="1"/>
    <xf numFmtId="0" fontId="0" fillId="0" borderId="8" xfId="0" applyBorder="1"/>
    <xf numFmtId="0" fontId="0" fillId="0" borderId="7" xfId="0" applyBorder="1"/>
    <xf numFmtId="0" fontId="0" fillId="0" borderId="0" xfId="0" applyAlignment="1">
      <alignment wrapText="1" indent="3"/>
    </xf>
    <xf numFmtId="3" fontId="0" fillId="0" borderId="2" xfId="0" applyNumberFormat="1" applyBorder="1"/>
    <xf numFmtId="0" fontId="0" fillId="0" borderId="0" xfId="0"/>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xf numFmtId="0" fontId="0" fillId="0" borderId="0" xfId="0"/>
    <xf numFmtId="0" fontId="4" fillId="0" borderId="2" xfId="0" applyFont="1" applyBorder="1" applyAlignment="1">
      <alignment horizontal="center" vertical="top"/>
    </xf>
    <xf numFmtId="167" fontId="0" fillId="0" borderId="0" xfId="0" applyNumberFormat="1"/>
    <xf numFmtId="180" fontId="0" fillId="0" borderId="0" xfId="0" applyNumberFormat="1"/>
    <xf numFmtId="0" fontId="0" fillId="0" borderId="9" xfId="0" applyBorder="1"/>
    <xf numFmtId="0" fontId="0" fillId="0" borderId="10" xfId="0" applyFill="1" applyBorder="1"/>
    <xf numFmtId="165" fontId="0" fillId="0" borderId="10" xfId="0" applyNumberFormat="1" applyBorder="1"/>
    <xf numFmtId="0" fontId="0" fillId="0" borderId="11" xfId="0" applyBorder="1"/>
    <xf numFmtId="0" fontId="4" fillId="0" borderId="8" xfId="0" applyFont="1" applyFill="1" applyBorder="1"/>
    <xf numFmtId="0" fontId="4" fillId="0" borderId="0" xfId="0" applyFont="1"/>
    <xf numFmtId="164" fontId="0" fillId="0" borderId="6" xfId="0" applyNumberFormat="1" applyBorder="1"/>
    <xf numFmtId="0" fontId="4" fillId="0" borderId="7" xfId="0" applyFont="1" applyFill="1" applyBorder="1"/>
    <xf numFmtId="0" fontId="4" fillId="0" borderId="12" xfId="0" applyFont="1" applyFill="1" applyBorder="1"/>
    <xf numFmtId="10" fontId="0" fillId="0" borderId="2" xfId="1" applyNumberFormat="1" applyFont="1" applyBorder="1"/>
    <xf numFmtId="10" fontId="4" fillId="0" borderId="2" xfId="1" applyNumberFormat="1" applyFont="1" applyBorder="1"/>
    <xf numFmtId="165" fontId="4" fillId="0" borderId="8" xfId="0" applyNumberFormat="1" applyFont="1" applyBorder="1"/>
    <xf numFmtId="165" fontId="4" fillId="0" borderId="7" xfId="0" applyNumberFormat="1"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B3DFC71-290D-4794-B609-AF37299F23B4}">
  <we:reference id="wa200009404" version="1.0.0.8" store="en-US" storeType="OMEX"/>
  <we:alternateReferences>
    <we:reference id="wa200009404" version="1.0.0.8" store="" storeType="OMEX"/>
  </we:alternateReferences>
  <we:properties>
    <we:property name="claude.fileId" value="&quot;00870679-0254-496a-8409-9c926322a7a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7"/>
  <sheetViews>
    <sheetView workbookViewId="0">
      <selection activeCell="B23" sqref="B23:C23"/>
    </sheetView>
  </sheetViews>
  <sheetFormatPr defaultRowHeight="14.4" x14ac:dyDescent="0.3"/>
  <cols>
    <col min="1" max="1" width="25" style="1" customWidth="1"/>
    <col min="2" max="2" width="80" style="1" customWidth="1"/>
    <col min="3" max="3" width="20" customWidth="1"/>
  </cols>
  <sheetData>
    <row r="1" spans="1:3" ht="48" customHeight="1" x14ac:dyDescent="0.3">
      <c r="A1" s="8" t="s">
        <v>0</v>
      </c>
      <c r="B1" s="8"/>
      <c r="C1" s="2"/>
    </row>
    <row r="2" spans="1:3" x14ac:dyDescent="0.3">
      <c r="A2" s="9"/>
      <c r="B2" s="9"/>
      <c r="C2" s="9"/>
    </row>
    <row r="3" spans="1:3" x14ac:dyDescent="0.3">
      <c r="A3" s="10" t="s">
        <v>1</v>
      </c>
      <c r="B3" s="10"/>
      <c r="C3" s="10"/>
    </row>
    <row r="4" spans="1:3" x14ac:dyDescent="0.3">
      <c r="A4" s="9"/>
      <c r="B4" s="9"/>
      <c r="C4" s="9"/>
    </row>
    <row r="5" spans="1:3" ht="12.75" customHeight="1" x14ac:dyDescent="0.3">
      <c r="A5" s="3" t="s">
        <v>2</v>
      </c>
      <c r="B5" s="9" t="s">
        <v>3</v>
      </c>
      <c r="C5" s="9"/>
    </row>
    <row r="6" spans="1:3" ht="12.75" customHeight="1" x14ac:dyDescent="0.3">
      <c r="A6" s="1" t="s">
        <v>4</v>
      </c>
      <c r="B6" s="9" t="s">
        <v>5</v>
      </c>
      <c r="C6" s="9"/>
    </row>
    <row r="7" spans="1:3" ht="12.75" customHeight="1" x14ac:dyDescent="0.3">
      <c r="A7" s="1" t="s">
        <v>6</v>
      </c>
      <c r="B7" s="9" t="s">
        <v>7</v>
      </c>
      <c r="C7" s="9"/>
    </row>
    <row r="8" spans="1:3" ht="12.75" customHeight="1" x14ac:dyDescent="0.3">
      <c r="A8" s="1" t="s">
        <v>8</v>
      </c>
      <c r="B8" s="9" t="s">
        <v>9</v>
      </c>
      <c r="C8" s="9"/>
    </row>
    <row r="9" spans="1:3" ht="12.75" customHeight="1" x14ac:dyDescent="0.3">
      <c r="A9" s="1" t="s">
        <v>10</v>
      </c>
      <c r="B9" s="9" t="s">
        <v>11</v>
      </c>
      <c r="C9" s="9"/>
    </row>
    <row r="10" spans="1:3" ht="12.75" customHeight="1" x14ac:dyDescent="0.3">
      <c r="A10" s="1" t="s">
        <v>12</v>
      </c>
      <c r="B10" s="9" t="s">
        <v>13</v>
      </c>
      <c r="C10" s="9"/>
    </row>
    <row r="11" spans="1:3" ht="12.75" customHeight="1" x14ac:dyDescent="0.3">
      <c r="A11" s="1" t="s">
        <v>14</v>
      </c>
      <c r="B11" s="9" t="s">
        <v>15</v>
      </c>
      <c r="C11" s="9"/>
    </row>
    <row r="12" spans="1:3" ht="51.15" customHeight="1" x14ac:dyDescent="0.3">
      <c r="A12" s="1" t="s">
        <v>16</v>
      </c>
      <c r="B12" s="9" t="s">
        <v>17</v>
      </c>
      <c r="C12" s="9"/>
    </row>
    <row r="13" spans="1:3" ht="12.75" customHeight="1" x14ac:dyDescent="0.3">
      <c r="A13" s="1" t="s">
        <v>18</v>
      </c>
      <c r="B13" s="9" t="s">
        <v>15</v>
      </c>
      <c r="C13" s="9"/>
    </row>
    <row r="14" spans="1:3" ht="12.75" customHeight="1" x14ac:dyDescent="0.3">
      <c r="A14" s="1" t="s">
        <v>19</v>
      </c>
      <c r="B14" s="9" t="s">
        <v>20</v>
      </c>
      <c r="C14" s="9"/>
    </row>
    <row r="15" spans="1:3" x14ac:dyDescent="0.3">
      <c r="A15" s="9"/>
      <c r="B15" s="9"/>
      <c r="C15" s="9"/>
    </row>
    <row r="16" spans="1:3" ht="12.75" customHeight="1" x14ac:dyDescent="0.3">
      <c r="A16" s="3" t="s">
        <v>21</v>
      </c>
      <c r="B16" s="9" t="s">
        <v>3</v>
      </c>
      <c r="C16" s="9"/>
    </row>
    <row r="17" spans="1:3" ht="12.75" customHeight="1" x14ac:dyDescent="0.3">
      <c r="A17" s="1" t="s">
        <v>22</v>
      </c>
      <c r="B17" s="9" t="s">
        <v>23</v>
      </c>
      <c r="C17" s="9"/>
    </row>
    <row r="18" spans="1:3" ht="12.75" customHeight="1" x14ac:dyDescent="0.3">
      <c r="A18" s="1" t="s">
        <v>24</v>
      </c>
      <c r="B18" s="9" t="s">
        <v>9</v>
      </c>
      <c r="C18" s="9"/>
    </row>
    <row r="19" spans="1:3" ht="38.4" customHeight="1" x14ac:dyDescent="0.3">
      <c r="A19" s="1" t="s">
        <v>25</v>
      </c>
      <c r="B19" s="9" t="s">
        <v>26</v>
      </c>
      <c r="C19" s="9"/>
    </row>
    <row r="20" spans="1:3" x14ac:dyDescent="0.3">
      <c r="A20" s="9"/>
      <c r="B20" s="9"/>
      <c r="C20" s="9"/>
    </row>
    <row r="21" spans="1:3" ht="12.75" customHeight="1" x14ac:dyDescent="0.3">
      <c r="A21" s="3" t="s">
        <v>27</v>
      </c>
      <c r="B21" s="9" t="s">
        <v>15</v>
      </c>
      <c r="C21" s="9"/>
    </row>
    <row r="22" spans="1:3" x14ac:dyDescent="0.3">
      <c r="A22" s="9"/>
      <c r="B22" s="9"/>
      <c r="C22" s="9"/>
    </row>
    <row r="23" spans="1:3" ht="12.75" customHeight="1" x14ac:dyDescent="0.3">
      <c r="A23" s="3" t="s">
        <v>28</v>
      </c>
      <c r="B23" s="9" t="s">
        <v>15</v>
      </c>
      <c r="C23" s="9"/>
    </row>
    <row r="24" spans="1:3" x14ac:dyDescent="0.3">
      <c r="A24" s="9"/>
      <c r="B24" s="9"/>
      <c r="C24" s="9"/>
    </row>
    <row r="25" spans="1:3" ht="12.75" customHeight="1" x14ac:dyDescent="0.3">
      <c r="A25" s="3" t="s">
        <v>29</v>
      </c>
      <c r="B25" s="9" t="s">
        <v>15</v>
      </c>
      <c r="C25" s="9"/>
    </row>
    <row r="26" spans="1:3" x14ac:dyDescent="0.3">
      <c r="A26" s="9"/>
      <c r="B26" s="9"/>
      <c r="C26" s="9"/>
    </row>
    <row r="27" spans="1:3" ht="12.75" customHeight="1" x14ac:dyDescent="0.3">
      <c r="A27" s="3" t="s">
        <v>30</v>
      </c>
      <c r="B27" s="9" t="s">
        <v>3</v>
      </c>
      <c r="C27" s="9"/>
    </row>
    <row r="28" spans="1:3" ht="12.75" customHeight="1" x14ac:dyDescent="0.3">
      <c r="A28" s="1" t="s">
        <v>31</v>
      </c>
      <c r="B28" s="9" t="s">
        <v>15</v>
      </c>
      <c r="C28" s="9"/>
    </row>
    <row r="29" spans="1:3" ht="12.75" customHeight="1" x14ac:dyDescent="0.3">
      <c r="A29" s="1" t="s">
        <v>32</v>
      </c>
      <c r="B29" s="9" t="s">
        <v>33</v>
      </c>
      <c r="C29" s="9"/>
    </row>
    <row r="30" spans="1:3" ht="12.75" customHeight="1" x14ac:dyDescent="0.3">
      <c r="A30" s="1" t="s">
        <v>34</v>
      </c>
      <c r="B30" s="9" t="s">
        <v>15</v>
      </c>
      <c r="C30" s="9"/>
    </row>
    <row r="31" spans="1:3" ht="12.75" customHeight="1" x14ac:dyDescent="0.3">
      <c r="A31" s="1" t="s">
        <v>35</v>
      </c>
      <c r="B31" s="9" t="s">
        <v>15</v>
      </c>
      <c r="C31" s="9"/>
    </row>
    <row r="32" spans="1:3" x14ac:dyDescent="0.3">
      <c r="A32" s="9"/>
      <c r="B32" s="9"/>
      <c r="C32" s="9"/>
    </row>
    <row r="33" spans="1:3" ht="25.65" customHeight="1" x14ac:dyDescent="0.3">
      <c r="A33" s="3" t="s">
        <v>36</v>
      </c>
      <c r="B33" s="9" t="s">
        <v>37</v>
      </c>
      <c r="C33" s="9"/>
    </row>
    <row r="34" spans="1:3" x14ac:dyDescent="0.3">
      <c r="A34" s="9"/>
      <c r="B34" s="9"/>
      <c r="C34" s="9"/>
    </row>
    <row r="35" spans="1:3" ht="12.75" customHeight="1" x14ac:dyDescent="0.3">
      <c r="A35" s="3" t="s">
        <v>38</v>
      </c>
      <c r="B35" s="9" t="s">
        <v>3</v>
      </c>
      <c r="C35" s="9"/>
    </row>
    <row r="36" spans="1:3" ht="64.05" customHeight="1" x14ac:dyDescent="0.3">
      <c r="A36" s="1" t="s">
        <v>3</v>
      </c>
      <c r="B36" s="9" t="s">
        <v>39</v>
      </c>
      <c r="C36" s="9"/>
    </row>
    <row r="37" spans="1:3" ht="89.55" customHeight="1" x14ac:dyDescent="0.3">
      <c r="A37" s="1" t="s">
        <v>3</v>
      </c>
      <c r="B37" s="9" t="s">
        <v>40</v>
      </c>
      <c r="C37" s="9"/>
    </row>
    <row r="38" spans="1:3" ht="25.65" customHeight="1" x14ac:dyDescent="0.3">
      <c r="A38" s="1" t="s">
        <v>3</v>
      </c>
      <c r="B38" s="9" t="s">
        <v>41</v>
      </c>
      <c r="C38" s="9"/>
    </row>
    <row r="39" spans="1:3" ht="89.55" customHeight="1" x14ac:dyDescent="0.3">
      <c r="A39" s="1" t="s">
        <v>3</v>
      </c>
      <c r="B39" s="9" t="s">
        <v>42</v>
      </c>
      <c r="C39" s="9"/>
    </row>
    <row r="40" spans="1:3" ht="25.65" customHeight="1" x14ac:dyDescent="0.3">
      <c r="A40" s="1" t="s">
        <v>3</v>
      </c>
      <c r="B40" s="9" t="s">
        <v>43</v>
      </c>
      <c r="C40" s="9"/>
    </row>
    <row r="41" spans="1:3" ht="51.15" customHeight="1" x14ac:dyDescent="0.3">
      <c r="A41" s="1" t="s">
        <v>3</v>
      </c>
      <c r="B41" s="9" t="s">
        <v>44</v>
      </c>
      <c r="C41" s="9"/>
    </row>
    <row r="42" spans="1:3" ht="51.15" customHeight="1" x14ac:dyDescent="0.3">
      <c r="A42" s="1" t="s">
        <v>3</v>
      </c>
      <c r="B42" s="9" t="s">
        <v>45</v>
      </c>
      <c r="C42" s="9"/>
    </row>
    <row r="43" spans="1:3" ht="38.4" customHeight="1" x14ac:dyDescent="0.3">
      <c r="A43" s="1" t="s">
        <v>3</v>
      </c>
      <c r="B43" s="9" t="s">
        <v>46</v>
      </c>
      <c r="C43" s="9"/>
    </row>
    <row r="44" spans="1:3" ht="140.85" customHeight="1" x14ac:dyDescent="0.3">
      <c r="A44" s="1" t="s">
        <v>3</v>
      </c>
      <c r="B44" s="9" t="s">
        <v>47</v>
      </c>
      <c r="C44" s="9"/>
    </row>
    <row r="45" spans="1:3" x14ac:dyDescent="0.3">
      <c r="A45" s="9"/>
      <c r="B45" s="9"/>
      <c r="C45" s="9"/>
    </row>
    <row r="46" spans="1:3" ht="12.75" customHeight="1" x14ac:dyDescent="0.3">
      <c r="A46" s="3" t="s">
        <v>48</v>
      </c>
      <c r="B46" s="9" t="s">
        <v>15</v>
      </c>
      <c r="C46" s="9"/>
    </row>
    <row r="47" spans="1:3" x14ac:dyDescent="0.3">
      <c r="A47" s="9"/>
      <c r="B47" s="9"/>
      <c r="C47" s="9"/>
    </row>
  </sheetData>
  <mergeCells count="47">
    <mergeCell ref="B46:C46"/>
    <mergeCell ref="A47:C47"/>
    <mergeCell ref="B41:C41"/>
    <mergeCell ref="B42:C42"/>
    <mergeCell ref="B43:C43"/>
    <mergeCell ref="B44:C44"/>
    <mergeCell ref="A45:C45"/>
    <mergeCell ref="B36:C36"/>
    <mergeCell ref="B37:C37"/>
    <mergeCell ref="B38:C38"/>
    <mergeCell ref="B39:C39"/>
    <mergeCell ref="B40:C40"/>
    <mergeCell ref="B31:C31"/>
    <mergeCell ref="A32:C32"/>
    <mergeCell ref="B33:C33"/>
    <mergeCell ref="A34:C34"/>
    <mergeCell ref="B35:C35"/>
    <mergeCell ref="A26:C26"/>
    <mergeCell ref="B27:C27"/>
    <mergeCell ref="B28:C28"/>
    <mergeCell ref="B29:C29"/>
    <mergeCell ref="B30:C30"/>
    <mergeCell ref="B21:C21"/>
    <mergeCell ref="A22:C22"/>
    <mergeCell ref="B23:C23"/>
    <mergeCell ref="A24:C24"/>
    <mergeCell ref="B25:C25"/>
    <mergeCell ref="B16:C16"/>
    <mergeCell ref="B17:C17"/>
    <mergeCell ref="B18:C18"/>
    <mergeCell ref="B19:C19"/>
    <mergeCell ref="A20:C20"/>
    <mergeCell ref="B11:C11"/>
    <mergeCell ref="B12:C12"/>
    <mergeCell ref="B13:C13"/>
    <mergeCell ref="B14:C14"/>
    <mergeCell ref="A15:C15"/>
    <mergeCell ref="B6:C6"/>
    <mergeCell ref="B7:C7"/>
    <mergeCell ref="B8:C8"/>
    <mergeCell ref="B9:C9"/>
    <mergeCell ref="B10:C10"/>
    <mergeCell ref="A1:B1"/>
    <mergeCell ref="A2:C2"/>
    <mergeCell ref="A3:C3"/>
    <mergeCell ref="A4:C4"/>
    <mergeCell ref="B5:C5"/>
  </mergeCells>
  <printOptions gridLines="1"/>
  <pageMargins left="0.7" right="0.7" top="0.75" bottom="0.75" header="0.3" footer="0.3"/>
  <pageSetup fitToHeight="0" orientation="landscape"/>
  <headerFooter>
    <oddHeader>&amp;LTable: ACSDP5Y2020.DP04</oddHeader>
    <oddFooter>&amp;L&amp;Bdata.census.gov&amp;B | Measuring America's People, Places, and Economy &amp;R&amp;P</oddFooter>
    <evenHeader>&amp;LTable: ACSDP5Y2020.DP04</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BA0CC-851C-4EC7-B4C3-6846FAF8130E}">
  <dimension ref="B3:K32"/>
  <sheetViews>
    <sheetView tabSelected="1" topLeftCell="B1" workbookViewId="0">
      <selection activeCell="H27" sqref="H27"/>
    </sheetView>
  </sheetViews>
  <sheetFormatPr defaultRowHeight="14.4" x14ac:dyDescent="0.3"/>
  <cols>
    <col min="2" max="10" width="17.33203125" customWidth="1"/>
  </cols>
  <sheetData>
    <row r="3" spans="2:11" x14ac:dyDescent="0.3">
      <c r="B3" s="12" t="s">
        <v>2475</v>
      </c>
      <c r="C3" s="13"/>
      <c r="D3" s="13"/>
      <c r="E3" s="14"/>
      <c r="G3" s="12" t="s">
        <v>2476</v>
      </c>
      <c r="H3" s="13"/>
      <c r="I3" s="13"/>
      <c r="J3" s="14"/>
    </row>
    <row r="4" spans="2:11" x14ac:dyDescent="0.3">
      <c r="B4" s="15"/>
      <c r="C4" s="16">
        <v>2020</v>
      </c>
      <c r="D4" s="16">
        <v>2024</v>
      </c>
      <c r="E4" s="16" t="s">
        <v>2477</v>
      </c>
      <c r="G4" s="15"/>
      <c r="H4" s="16">
        <v>2020</v>
      </c>
      <c r="I4" s="16">
        <v>2024</v>
      </c>
      <c r="J4" s="16" t="s">
        <v>2477</v>
      </c>
    </row>
    <row r="5" spans="2:11" x14ac:dyDescent="0.3">
      <c r="B5" s="15" t="s">
        <v>2478</v>
      </c>
      <c r="C5" s="26">
        <f>VALUE(SUBSTITUTE('Population (2020)'!E2,",",""))</f>
        <v>1799674</v>
      </c>
      <c r="D5" s="26">
        <f>VALUE(SUBSTITUTE('Population (2024)'!N4,",",""))</f>
        <v>1796689</v>
      </c>
      <c r="E5" s="47">
        <f>_xlfn.RRI(4,C5,D5)</f>
        <v>-4.1491659483094967E-4</v>
      </c>
      <c r="G5" s="15" t="s">
        <v>2478</v>
      </c>
      <c r="H5" s="26">
        <f>VALUE(SUBSTITUTE('Population (2020)'!D2,",",""))</f>
        <v>633104</v>
      </c>
      <c r="I5" s="26">
        <f>VALUE(SUBSTITUTE('Population (2024)'!J4,",",""))</f>
        <v>610936</v>
      </c>
      <c r="J5" s="47">
        <f>_xlfn.RRI(4,H5,I5)</f>
        <v>-8.8710426086796579E-3</v>
      </c>
    </row>
    <row r="6" spans="2:11" x14ac:dyDescent="0.3">
      <c r="B6" s="15" t="s">
        <v>2479</v>
      </c>
      <c r="C6" s="15">
        <f>VALUE(SUBSTITUTE('Data (2020)'!N4,",",""))</f>
        <v>739434</v>
      </c>
      <c r="D6" s="15">
        <f>VALUE(SUBSTITUTE('Data (2024)'!N4,",",""))</f>
        <v>774453</v>
      </c>
      <c r="E6" s="47">
        <f t="shared" ref="E6:E16" si="0">_xlfn.RRI(4,C6,D6)</f>
        <v>1.1635154159306493E-2</v>
      </c>
      <c r="G6" s="15" t="s">
        <v>2479</v>
      </c>
      <c r="H6" s="15">
        <f>VALUE(SUBSTITUTE('Data (2020)'!J4,",",""))</f>
        <v>299599</v>
      </c>
      <c r="I6" s="15">
        <f>VALUE(SUBSTITUTE('Data (2024)'!J4,",",""))</f>
        <v>291759</v>
      </c>
      <c r="J6" s="47">
        <f t="shared" ref="J6:J16" si="1">_xlfn.RRI(4,H6,I6)</f>
        <v>-6.6072740451110779E-3</v>
      </c>
    </row>
    <row r="7" spans="2:11" x14ac:dyDescent="0.3">
      <c r="B7" s="18" t="s">
        <v>2480</v>
      </c>
      <c r="C7" s="20">
        <f>VALUE(SUBSTITUTE('Income (2020)'!AL17,",",""))</f>
        <v>68454</v>
      </c>
      <c r="D7" s="20">
        <f>VALUE(SUBSTITUTE('Income (2024)'!AL17,",",""))</f>
        <v>82402</v>
      </c>
      <c r="E7" s="47">
        <f t="shared" si="0"/>
        <v>4.7453447611716326E-2</v>
      </c>
      <c r="G7" s="18" t="s">
        <v>2480</v>
      </c>
      <c r="H7" s="20">
        <f>VALUE(SUBSTITUTE('Income (2020)'!Z17,",",""))</f>
        <v>41864</v>
      </c>
      <c r="I7" s="20">
        <f>VALUE(SUBSTITUTE('Income (2024)'!Z17,",",""))</f>
        <v>52679</v>
      </c>
      <c r="J7" s="47">
        <f t="shared" si="1"/>
        <v>5.9129830400258765E-2</v>
      </c>
    </row>
    <row r="8" spans="2:11" s="34" customFormat="1" x14ac:dyDescent="0.3">
      <c r="B8" s="23" t="s">
        <v>5113</v>
      </c>
      <c r="C8" s="21">
        <f>C7/'CPI Fred Data'!D22</f>
        <v>82968.813415443859</v>
      </c>
      <c r="D8" s="21">
        <f>D7/'CPI Fred Data'!D26</f>
        <v>82402</v>
      </c>
      <c r="E8" s="47">
        <f t="shared" si="0"/>
        <v>-1.7123040167811299E-3</v>
      </c>
      <c r="G8" s="23" t="s">
        <v>5113</v>
      </c>
      <c r="H8" s="21">
        <f>H7/'CPI Fred Data'!D22</f>
        <v>50740.736915653462</v>
      </c>
      <c r="I8" s="21">
        <f>I7/'CPI Fred Data'!D26</f>
        <v>52679</v>
      </c>
      <c r="J8" s="47">
        <f t="shared" si="1"/>
        <v>9.416008461419878E-3</v>
      </c>
    </row>
    <row r="9" spans="2:11" x14ac:dyDescent="0.3">
      <c r="B9" s="38" t="s">
        <v>2481</v>
      </c>
      <c r="C9" s="38">
        <f>VALUE('Data (2020)'!N56)</f>
        <v>2.6</v>
      </c>
      <c r="D9" s="38">
        <f>VALUE('Data (2024)'!N56)</f>
        <v>2.56</v>
      </c>
      <c r="E9" s="47">
        <f t="shared" si="0"/>
        <v>-3.8685444612907016E-3</v>
      </c>
      <c r="G9" s="38" t="s">
        <v>2481</v>
      </c>
      <c r="H9" s="38">
        <f>VALUE('Data (2020)'!J56)</f>
        <v>2.5299999999999998</v>
      </c>
      <c r="I9" s="38">
        <f>VALUE('Data (2024)'!J56)</f>
        <v>2.44</v>
      </c>
      <c r="J9" s="47">
        <f t="shared" si="1"/>
        <v>-9.0144399603685477E-3</v>
      </c>
    </row>
    <row r="10" spans="2:11" x14ac:dyDescent="0.3">
      <c r="B10" s="15" t="s">
        <v>2482</v>
      </c>
      <c r="C10" s="15">
        <f>VALUE(SUBSTITUTE('Data (2020)'!N54,",",""))</f>
        <v>418960</v>
      </c>
      <c r="D10" s="15">
        <f>VALUE(SUBSTITUTE('Data (2024)'!N54,",",""))</f>
        <v>451287</v>
      </c>
      <c r="E10" s="47">
        <f t="shared" si="0"/>
        <v>1.8755732645288514E-2</v>
      </c>
      <c r="G10" s="15" t="s">
        <v>2482</v>
      </c>
      <c r="H10" s="15">
        <f>VALUE(SUBSTITUTE('Data (2020)'!J54,",",""))</f>
        <v>118235</v>
      </c>
      <c r="I10" s="15">
        <f>VALUE(SUBSTITUTE('Data (2024)'!J54,",",""))</f>
        <v>111737</v>
      </c>
      <c r="J10" s="47">
        <f t="shared" si="1"/>
        <v>-1.4032186528436852E-2</v>
      </c>
    </row>
    <row r="11" spans="2:11" x14ac:dyDescent="0.3">
      <c r="B11" s="15" t="s">
        <v>2483</v>
      </c>
      <c r="C11" s="15">
        <f>VALUE(SUBSTITUTE('Data (2020)'!N55,",",""))</f>
        <v>253093</v>
      </c>
      <c r="D11" s="15">
        <f>VALUE(SUBSTITUTE('Data (2024)'!N55,",",""))</f>
        <v>266624</v>
      </c>
      <c r="E11" s="47">
        <f t="shared" si="0"/>
        <v>1.3105741196323795E-2</v>
      </c>
      <c r="G11" s="15" t="s">
        <v>2483</v>
      </c>
      <c r="H11" s="15">
        <f>VALUE(SUBSTITUTE('Data (2020)'!J55,",",""))</f>
        <v>137521</v>
      </c>
      <c r="I11" s="15">
        <f>VALUE(SUBSTITUTE('Data (2024)'!J55,",",""))</f>
        <v>139093</v>
      </c>
      <c r="J11" s="47">
        <f t="shared" si="1"/>
        <v>2.8455763475117024E-3</v>
      </c>
    </row>
    <row r="12" spans="2:11" x14ac:dyDescent="0.3">
      <c r="B12" s="15" t="s">
        <v>2484</v>
      </c>
      <c r="C12" s="17">
        <f>VALUE('Data (2020)'!N8)/100</f>
        <v>6.8000000000000005E-2</v>
      </c>
      <c r="D12" s="17">
        <f>VALUE('Data (2024)'!N8)/100</f>
        <v>5.2999999999999999E-2</v>
      </c>
      <c r="E12" s="47">
        <f>D12-C12</f>
        <v>-1.5000000000000006E-2</v>
      </c>
      <c r="F12" t="s">
        <v>5116</v>
      </c>
      <c r="G12" s="15" t="s">
        <v>2484</v>
      </c>
      <c r="H12" s="17">
        <f>VALUE('Data (2020)'!J8)/100</f>
        <v>8.3000000000000004E-2</v>
      </c>
      <c r="I12" s="17">
        <f>VALUE('Data (2024)'!J8)/100</f>
        <v>0.10099999999999999</v>
      </c>
      <c r="J12" s="47">
        <f>I12-H12</f>
        <v>1.7999999999999988E-2</v>
      </c>
      <c r="K12" s="34" t="s">
        <v>5116</v>
      </c>
    </row>
    <row r="13" spans="2:11" x14ac:dyDescent="0.3">
      <c r="B13" s="18" t="s">
        <v>2485</v>
      </c>
      <c r="C13" s="20">
        <f>VALUE(SUBSTITUTE('Data (2020)'!N152,",",""))</f>
        <v>1187</v>
      </c>
      <c r="D13" s="20">
        <f>VALUE(SUBSTITUTE('Data (2024)'!N152,",",""))</f>
        <v>1556</v>
      </c>
      <c r="E13" s="47">
        <f t="shared" si="0"/>
        <v>7.0014636692544929E-2</v>
      </c>
      <c r="G13" s="18" t="s">
        <v>2485</v>
      </c>
      <c r="H13" s="20">
        <f>VALUE(SUBSTITUTE('Data (2020)'!J152,",",""))</f>
        <v>915</v>
      </c>
      <c r="I13" s="20">
        <f>VALUE(SUBSTITUTE('Data (2024)'!J152,",",""))</f>
        <v>1263</v>
      </c>
      <c r="J13" s="47">
        <f t="shared" si="1"/>
        <v>8.3915842863365731E-2</v>
      </c>
    </row>
    <row r="14" spans="2:11" s="34" customFormat="1" x14ac:dyDescent="0.3">
      <c r="B14" s="42" t="s">
        <v>5114</v>
      </c>
      <c r="C14" s="49">
        <f>C13/'CPI Fred Data'!D22</f>
        <v>1438.688484590117</v>
      </c>
      <c r="D14" s="49">
        <f>D13/'CPI Fred Data'!D26</f>
        <v>1556</v>
      </c>
      <c r="E14" s="48">
        <f t="shared" si="0"/>
        <v>1.9789899749405926E-2</v>
      </c>
      <c r="G14" s="42" t="s">
        <v>5114</v>
      </c>
      <c r="H14" s="49">
        <f>H13/'CPI Fred Data'!D22</f>
        <v>1109.014290985642</v>
      </c>
      <c r="I14" s="49">
        <f>I13/'CPI Fred Data'!D26</f>
        <v>1263</v>
      </c>
      <c r="J14" s="48">
        <f t="shared" si="1"/>
        <v>3.3038606039215823E-2</v>
      </c>
    </row>
    <row r="15" spans="2:11" x14ac:dyDescent="0.3">
      <c r="B15" s="39" t="s">
        <v>2488</v>
      </c>
      <c r="C15" s="40">
        <f>VALUE(SUBSTITUTE('Data (2020)'!N103,",",""))</f>
        <v>253800</v>
      </c>
      <c r="D15" s="40">
        <f>VALUE(SUBSTITUTE('Data (2024)'!N103,",",""))</f>
        <v>363400</v>
      </c>
      <c r="E15" s="47">
        <f t="shared" si="0"/>
        <v>9.3889179224077468E-2</v>
      </c>
      <c r="G15" s="39" t="s">
        <v>2488</v>
      </c>
      <c r="H15" s="40">
        <f>VALUE(SUBSTITUTE('Data (2020)'!J103,",",""))</f>
        <v>107100</v>
      </c>
      <c r="I15" s="40">
        <f>VALUE(SUBSTITUTE('Data (2024)'!J103,",",""))</f>
        <v>209800</v>
      </c>
      <c r="J15" s="47">
        <f t="shared" si="1"/>
        <v>0.18305246086149385</v>
      </c>
    </row>
    <row r="16" spans="2:11" s="34" customFormat="1" x14ac:dyDescent="0.3">
      <c r="B16" s="42" t="s">
        <v>5115</v>
      </c>
      <c r="C16" s="49">
        <f>C15/'CPI Fred Data'!D22</f>
        <v>307615.11153241084</v>
      </c>
      <c r="D16" s="49">
        <f>D15/'CPI Fred Data'!D26</f>
        <v>363400</v>
      </c>
      <c r="E16" s="48">
        <f t="shared" si="0"/>
        <v>4.2543810303425911E-2</v>
      </c>
      <c r="G16" s="42" t="s">
        <v>5115</v>
      </c>
      <c r="H16" s="49">
        <f>H15/'CPI Fred Data'!D22</f>
        <v>129809.21373176202</v>
      </c>
      <c r="I16" s="49">
        <f>I15/'CPI Fred Data'!D26</f>
        <v>209800</v>
      </c>
      <c r="J16" s="48">
        <f t="shared" si="1"/>
        <v>0.12752191333518459</v>
      </c>
    </row>
    <row r="18" spans="2:11" x14ac:dyDescent="0.3">
      <c r="B18" s="12" t="s">
        <v>2486</v>
      </c>
      <c r="C18" s="13"/>
      <c r="D18" s="13"/>
      <c r="E18" s="14"/>
      <c r="G18" s="12" t="s">
        <v>2487</v>
      </c>
      <c r="H18" s="13"/>
      <c r="I18" s="13"/>
      <c r="J18" s="14"/>
    </row>
    <row r="19" spans="2:11" x14ac:dyDescent="0.3">
      <c r="B19" s="15"/>
      <c r="C19" s="16">
        <v>2020</v>
      </c>
      <c r="D19" s="16">
        <v>2024</v>
      </c>
      <c r="E19" s="16" t="s">
        <v>2477</v>
      </c>
      <c r="G19" s="15"/>
      <c r="H19" s="16">
        <v>2020</v>
      </c>
      <c r="I19" s="16">
        <v>2024</v>
      </c>
      <c r="J19" s="16" t="s">
        <v>2477</v>
      </c>
    </row>
    <row r="20" spans="2:11" x14ac:dyDescent="0.3">
      <c r="B20" s="15" t="s">
        <v>2478</v>
      </c>
      <c r="C20" s="26">
        <f>VALUE(SUBSTITUTE('Population (2020)'!C2,",",""))</f>
        <v>949611</v>
      </c>
      <c r="D20" s="26">
        <f>VALUE(SUBSTITUTE('Population (2024)'!F4,",",""))</f>
        <v>1009831</v>
      </c>
      <c r="E20" s="47">
        <f>_xlfn.RRI(4,C20,D20)</f>
        <v>1.5490209077447359E-2</v>
      </c>
      <c r="G20" s="15" t="s">
        <v>2478</v>
      </c>
      <c r="H20" s="26">
        <f>VALUE(SUBSTITUTE('Population (2020)'!B2,",",""))</f>
        <v>202591</v>
      </c>
      <c r="I20" s="26">
        <f>VALUE(SUBSTITUTE('Population (2024)'!B4,",",""))</f>
        <v>204793</v>
      </c>
      <c r="J20" s="47">
        <f>_xlfn.RRI(4,H20,I20)</f>
        <v>2.7062915567148682E-3</v>
      </c>
    </row>
    <row r="21" spans="2:11" x14ac:dyDescent="0.3">
      <c r="B21" s="15" t="s">
        <v>2479</v>
      </c>
      <c r="C21" s="15">
        <f>VALUE(SUBSTITUTE('Data (2020)'!F4,",",""))</f>
        <v>389130</v>
      </c>
      <c r="D21" s="15">
        <f>VALUE(SUBSTITUTE('Data (2024)'!F4,",",""))</f>
        <v>449941</v>
      </c>
      <c r="E21" s="47">
        <f t="shared" ref="E21:E31" si="2">_xlfn.RRI(4,C21,D21)</f>
        <v>3.6967663745406831E-2</v>
      </c>
      <c r="G21" s="15" t="s">
        <v>2479</v>
      </c>
      <c r="H21" s="15">
        <f>VALUE(SUBSTITUTE('Data (2020)'!B4,",",""))</f>
        <v>96399</v>
      </c>
      <c r="I21" s="15">
        <f>VALUE(SUBSTITUTE('Data (2024)'!B4,",",""))</f>
        <v>99014</v>
      </c>
      <c r="J21" s="47">
        <f t="shared" ref="J21:J31" si="3">_xlfn.RRI(4,H21,I21)</f>
        <v>6.7137936830421463E-3</v>
      </c>
    </row>
    <row r="22" spans="2:11" x14ac:dyDescent="0.3">
      <c r="B22" s="18" t="s">
        <v>2480</v>
      </c>
      <c r="C22" s="20">
        <f>VALUE(SUBSTITUTE('Income (2020)'!N17,",",""))</f>
        <v>55531</v>
      </c>
      <c r="D22" s="20">
        <f>VALUE(SUBSTITUTE('Income (2024)'!N17,",",""))</f>
        <v>72389</v>
      </c>
      <c r="E22" s="47">
        <f t="shared" si="2"/>
        <v>6.8523974113558372E-2</v>
      </c>
      <c r="G22" s="18" t="s">
        <v>2480</v>
      </c>
      <c r="H22" s="20">
        <f>VALUE(SUBSTITUTE('Income (2020)'!B17,",",""))</f>
        <v>53620</v>
      </c>
      <c r="I22" s="20">
        <f>VALUE(SUBSTITUTE('Income (2024)'!B17,",",""))</f>
        <v>66553</v>
      </c>
      <c r="J22" s="47">
        <f t="shared" si="3"/>
        <v>5.5504785827386716E-2</v>
      </c>
    </row>
    <row r="23" spans="2:11" s="34" customFormat="1" x14ac:dyDescent="0.3">
      <c r="B23" s="24" t="s">
        <v>5113</v>
      </c>
      <c r="C23" s="22">
        <f>C22/'CPI Fred Data'!D22</f>
        <v>67305.653106801838</v>
      </c>
      <c r="D23" s="22">
        <f>D22/'CPI Fred Data'!D26</f>
        <v>72389</v>
      </c>
      <c r="E23" s="47">
        <f t="shared" si="2"/>
        <v>1.8369206433767049E-2</v>
      </c>
      <c r="G23" s="24" t="s">
        <v>5113</v>
      </c>
      <c r="H23" s="22">
        <f>H22/'CPI Fred Data'!D22</f>
        <v>64989.449489235107</v>
      </c>
      <c r="I23" s="22">
        <f>I22/'CPI Fred Data'!D26</f>
        <v>66553</v>
      </c>
      <c r="J23" s="47">
        <f t="shared" si="3"/>
        <v>5.9611175517186865E-3</v>
      </c>
    </row>
    <row r="24" spans="2:11" x14ac:dyDescent="0.3">
      <c r="B24" s="38" t="s">
        <v>2481</v>
      </c>
      <c r="C24" s="38">
        <f>VALUE('Data (2020)'!F56)</f>
        <v>2.62</v>
      </c>
      <c r="D24" s="38">
        <f>VALUE('Data (2024)'!F56)</f>
        <v>2.56</v>
      </c>
      <c r="E24" s="47">
        <f t="shared" si="2"/>
        <v>-5.775024884033253E-3</v>
      </c>
      <c r="G24" s="38" t="s">
        <v>2481</v>
      </c>
      <c r="H24" s="38">
        <f>VALUE('Data (2020)'!B56)</f>
        <v>2.4500000000000002</v>
      </c>
      <c r="I24" s="38">
        <f>VALUE('Data (2024)'!B56)</f>
        <v>2.4300000000000002</v>
      </c>
      <c r="J24" s="47">
        <f t="shared" si="3"/>
        <v>-2.0470936409481277E-3</v>
      </c>
    </row>
    <row r="25" spans="2:11" x14ac:dyDescent="0.3">
      <c r="B25" s="15" t="s">
        <v>2482</v>
      </c>
      <c r="C25" s="15">
        <f>VALUE(SUBSTITUTE('Data (2020)'!F54,",",""))</f>
        <v>196649</v>
      </c>
      <c r="D25" s="15">
        <f>VALUE(SUBSTITUTE('Data (2024)'!F54,",",""))</f>
        <v>240209</v>
      </c>
      <c r="E25" s="47">
        <f t="shared" si="2"/>
        <v>5.1294477964846763E-2</v>
      </c>
      <c r="G25" s="15" t="s">
        <v>2482</v>
      </c>
      <c r="H25" s="15">
        <f>VALUE(SUBSTITUTE('Data (2020)'!B54,",",""))</f>
        <v>45625</v>
      </c>
      <c r="I25" s="15">
        <f>VALUE(SUBSTITUTE('Data (2024)'!B54,",",""))</f>
        <v>47340</v>
      </c>
      <c r="J25" s="47">
        <f t="shared" si="3"/>
        <v>9.2676290213253854E-3</v>
      </c>
    </row>
    <row r="26" spans="2:11" x14ac:dyDescent="0.3">
      <c r="B26" s="15" t="s">
        <v>2483</v>
      </c>
      <c r="C26" s="15">
        <f>VALUE(SUBSTITUTE('Data (2020)'!F55,",",""))</f>
        <v>152160</v>
      </c>
      <c r="D26" s="15">
        <f>VALUE(SUBSTITUTE('Data (2024)'!F55,",",""))</f>
        <v>173411</v>
      </c>
      <c r="E26" s="47">
        <f t="shared" si="2"/>
        <v>3.3222929989375816E-2</v>
      </c>
      <c r="G26" s="15" t="s">
        <v>2483</v>
      </c>
      <c r="H26" s="15">
        <f>VALUE(SUBSTITUTE('Data (2020)'!B55,",",""))</f>
        <v>37900</v>
      </c>
      <c r="I26" s="15">
        <f>VALUE(SUBSTITUTE('Data (2024)'!B55,",",""))</f>
        <v>41398</v>
      </c>
      <c r="J26" s="47">
        <f t="shared" si="3"/>
        <v>2.2315716775438199E-2</v>
      </c>
    </row>
    <row r="27" spans="2:11" x14ac:dyDescent="0.3">
      <c r="B27" s="18" t="s">
        <v>2484</v>
      </c>
      <c r="C27" s="44">
        <f>VALUE('Data (2020)'!F8)/100</f>
        <v>6.6000000000000003E-2</v>
      </c>
      <c r="D27" s="44">
        <f>VALUE('Data (2024)'!F8)/100</f>
        <v>0.111</v>
      </c>
      <c r="E27" s="47">
        <f>D27-C27</f>
        <v>4.4999999999999998E-2</v>
      </c>
      <c r="F27" s="34" t="s">
        <v>5116</v>
      </c>
      <c r="G27" s="18" t="s">
        <v>2484</v>
      </c>
      <c r="H27" s="44">
        <f>VALUE('Data (2020)'!B8)/100</f>
        <v>0.12</v>
      </c>
      <c r="I27" s="44">
        <f>VALUE('Data (2024)'!B8)/100</f>
        <v>7.2999999999999995E-2</v>
      </c>
      <c r="J27" s="47">
        <f>I27-H27</f>
        <v>-4.7E-2</v>
      </c>
      <c r="K27" s="34" t="s">
        <v>5116</v>
      </c>
    </row>
    <row r="28" spans="2:11" x14ac:dyDescent="0.3">
      <c r="B28" s="24" t="s">
        <v>2485</v>
      </c>
      <c r="C28" s="22">
        <f>VALUE(SUBSTITUTE('Data (2020)'!F152,",",""))</f>
        <v>1089</v>
      </c>
      <c r="D28" s="22">
        <f>VALUE(SUBSTITUTE('Data (2024)'!F152,",",""))</f>
        <v>1568</v>
      </c>
      <c r="E28" s="47">
        <f t="shared" si="2"/>
        <v>9.5417171763960251E-2</v>
      </c>
      <c r="G28" s="24" t="s">
        <v>2485</v>
      </c>
      <c r="H28" s="22">
        <f>VALUE(SUBSTITUTE('Data (2020)'!B152,",",""))</f>
        <v>889</v>
      </c>
      <c r="I28" s="22">
        <f>VALUE(SUBSTITUTE('Data (2024)'!B152,",",""))</f>
        <v>1136</v>
      </c>
      <c r="J28" s="47">
        <f t="shared" si="3"/>
        <v>6.3210220085593516E-2</v>
      </c>
    </row>
    <row r="29" spans="2:11" s="34" customFormat="1" x14ac:dyDescent="0.3">
      <c r="B29" s="45" t="s">
        <v>5114</v>
      </c>
      <c r="C29" s="50">
        <f>C28/'CPI Fred Data'!D22</f>
        <v>1319.9088118943871</v>
      </c>
      <c r="D29" s="50">
        <f>D28/'CPI Fred Data'!D26</f>
        <v>1568</v>
      </c>
      <c r="E29" s="48">
        <f t="shared" si="2"/>
        <v>4.4000081372652877E-2</v>
      </c>
      <c r="F29" s="41"/>
      <c r="G29" s="46" t="s">
        <v>5114</v>
      </c>
      <c r="H29" s="50">
        <f>H28/'CPI Fred Data'!D22</f>
        <v>1077.501316596979</v>
      </c>
      <c r="I29" s="50">
        <f>I28/'CPI Fred Data'!D26</f>
        <v>1136</v>
      </c>
      <c r="J29" s="48">
        <f t="shared" si="3"/>
        <v>1.3304871328761791E-2</v>
      </c>
    </row>
    <row r="30" spans="2:11" x14ac:dyDescent="0.3">
      <c r="B30" s="19" t="s">
        <v>2488</v>
      </c>
      <c r="C30" s="22">
        <f>VALUE(SUBSTITUTE('Data (2020)'!F103,",",""))</f>
        <v>187700</v>
      </c>
      <c r="D30" s="22">
        <f>VALUE(SUBSTITUTE('Data (2024)'!F103,",",""))</f>
        <v>325300</v>
      </c>
      <c r="E30" s="47">
        <f t="shared" si="2"/>
        <v>0.14737385023283189</v>
      </c>
      <c r="G30" s="19" t="s">
        <v>2488</v>
      </c>
      <c r="H30" s="22">
        <f>VALUE(SUBSTITUTE('Data (2020)'!B103,",",""))</f>
        <v>172500</v>
      </c>
      <c r="I30" s="22">
        <f>VALUE(SUBSTITUTE('Data (2024)'!B103,",",""))</f>
        <v>270700</v>
      </c>
      <c r="J30" s="47">
        <f t="shared" si="3"/>
        <v>0.11924403653802829</v>
      </c>
    </row>
    <row r="31" spans="2:11" s="34" customFormat="1" x14ac:dyDescent="0.3">
      <c r="B31" s="45" t="s">
        <v>5115</v>
      </c>
      <c r="C31" s="50">
        <f>C30/'CPI Fred Data'!D22</f>
        <v>227499.43433661747</v>
      </c>
      <c r="D31" s="50">
        <f>D30/'CPI Fred Data'!D26</f>
        <v>325300</v>
      </c>
      <c r="E31" s="48">
        <f t="shared" si="2"/>
        <v>9.3517998333920938E-2</v>
      </c>
      <c r="F31" s="41"/>
      <c r="G31" s="46" t="s">
        <v>5115</v>
      </c>
      <c r="H31" s="50">
        <f>H30/'CPI Fred Data'!D22</f>
        <v>209076.46469401446</v>
      </c>
      <c r="I31" s="50">
        <f>I30/'CPI Fred Data'!D26</f>
        <v>270700</v>
      </c>
      <c r="J31" s="48">
        <f t="shared" si="3"/>
        <v>6.6708552085162909E-2</v>
      </c>
    </row>
    <row r="32" spans="2:11" x14ac:dyDescent="0.3">
      <c r="G32" s="43"/>
    </row>
  </sheetData>
  <mergeCells count="4">
    <mergeCell ref="B3:E3"/>
    <mergeCell ref="G3:J3"/>
    <mergeCell ref="B18:E18"/>
    <mergeCell ref="G18:J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1F0D9-989B-4443-A1B5-A3B295625706}">
  <dimension ref="A1:AW52"/>
  <sheetViews>
    <sheetView workbookViewId="0">
      <selection activeCell="G5" sqref="G5"/>
    </sheetView>
  </sheetViews>
  <sheetFormatPr defaultRowHeight="14.4" x14ac:dyDescent="0.3"/>
  <sheetData>
    <row r="1" spans="1:49" x14ac:dyDescent="0.3">
      <c r="A1" s="5" t="s">
        <v>3</v>
      </c>
      <c r="B1" s="11" t="s">
        <v>49</v>
      </c>
      <c r="C1" s="11"/>
      <c r="D1" s="11"/>
      <c r="E1" s="11"/>
      <c r="F1" s="11"/>
      <c r="G1" s="11"/>
      <c r="H1" s="11"/>
      <c r="I1" s="11"/>
      <c r="J1" s="11"/>
      <c r="K1" s="11"/>
      <c r="L1" s="11"/>
      <c r="M1" s="11"/>
      <c r="N1" s="11" t="s">
        <v>50</v>
      </c>
      <c r="O1" s="11"/>
      <c r="P1" s="11"/>
      <c r="Q1" s="11"/>
      <c r="R1" s="11"/>
      <c r="S1" s="11"/>
      <c r="T1" s="11"/>
      <c r="U1" s="11"/>
      <c r="V1" s="11"/>
      <c r="W1" s="11"/>
      <c r="X1" s="11"/>
      <c r="Y1" s="11"/>
      <c r="Z1" s="11" t="s">
        <v>51</v>
      </c>
      <c r="AA1" s="11"/>
      <c r="AB1" s="11"/>
      <c r="AC1" s="11"/>
      <c r="AD1" s="11"/>
      <c r="AE1" s="11"/>
      <c r="AF1" s="11"/>
      <c r="AG1" s="11"/>
      <c r="AH1" s="11"/>
      <c r="AI1" s="11"/>
      <c r="AJ1" s="11"/>
      <c r="AK1" s="11"/>
      <c r="AL1" s="11" t="s">
        <v>1435</v>
      </c>
      <c r="AM1" s="11"/>
      <c r="AN1" s="11"/>
      <c r="AO1" s="11"/>
      <c r="AP1" s="11"/>
      <c r="AQ1" s="11"/>
      <c r="AR1" s="11"/>
      <c r="AS1" s="11"/>
      <c r="AT1" s="11"/>
      <c r="AU1" s="11"/>
      <c r="AV1" s="11"/>
      <c r="AW1" s="11"/>
    </row>
    <row r="2" spans="1:49" x14ac:dyDescent="0.3">
      <c r="A2" s="5" t="s">
        <v>3</v>
      </c>
      <c r="B2" s="11" t="s">
        <v>69</v>
      </c>
      <c r="C2" s="11"/>
      <c r="D2" s="11" t="s">
        <v>2489</v>
      </c>
      <c r="E2" s="11"/>
      <c r="F2" s="11" t="s">
        <v>2490</v>
      </c>
      <c r="G2" s="11"/>
      <c r="H2" s="11" t="s">
        <v>2491</v>
      </c>
      <c r="I2" s="11"/>
      <c r="J2" s="11" t="s">
        <v>2492</v>
      </c>
      <c r="K2" s="11"/>
      <c r="L2" s="11" t="s">
        <v>2493</v>
      </c>
      <c r="M2" s="11"/>
      <c r="N2" s="11" t="s">
        <v>69</v>
      </c>
      <c r="O2" s="11"/>
      <c r="P2" s="11" t="s">
        <v>2489</v>
      </c>
      <c r="Q2" s="11"/>
      <c r="R2" s="11" t="s">
        <v>2490</v>
      </c>
      <c r="S2" s="11"/>
      <c r="T2" s="11" t="s">
        <v>2491</v>
      </c>
      <c r="U2" s="11"/>
      <c r="V2" s="11" t="s">
        <v>2492</v>
      </c>
      <c r="W2" s="11"/>
      <c r="X2" s="11" t="s">
        <v>2493</v>
      </c>
      <c r="Y2" s="11"/>
      <c r="Z2" s="11" t="s">
        <v>69</v>
      </c>
      <c r="AA2" s="11"/>
      <c r="AB2" s="11" t="s">
        <v>2489</v>
      </c>
      <c r="AC2" s="11"/>
      <c r="AD2" s="11" t="s">
        <v>2490</v>
      </c>
      <c r="AE2" s="11"/>
      <c r="AF2" s="11" t="s">
        <v>2491</v>
      </c>
      <c r="AG2" s="11"/>
      <c r="AH2" s="11" t="s">
        <v>2492</v>
      </c>
      <c r="AI2" s="11"/>
      <c r="AJ2" s="11" t="s">
        <v>2493</v>
      </c>
      <c r="AK2" s="11"/>
      <c r="AL2" s="11" t="s">
        <v>69</v>
      </c>
      <c r="AM2" s="11"/>
      <c r="AN2" s="11" t="s">
        <v>2489</v>
      </c>
      <c r="AO2" s="11"/>
      <c r="AP2" s="11" t="s">
        <v>2490</v>
      </c>
      <c r="AQ2" s="11"/>
      <c r="AR2" s="11" t="s">
        <v>2491</v>
      </c>
      <c r="AS2" s="11"/>
      <c r="AT2" s="11" t="s">
        <v>2492</v>
      </c>
      <c r="AU2" s="11"/>
      <c r="AV2" s="11" t="s">
        <v>2493</v>
      </c>
      <c r="AW2" s="11"/>
    </row>
    <row r="3" spans="1:49" ht="28.8" x14ac:dyDescent="0.3">
      <c r="A3" s="5" t="s">
        <v>53</v>
      </c>
      <c r="B3" s="5" t="s">
        <v>54</v>
      </c>
      <c r="C3" s="5" t="s">
        <v>55</v>
      </c>
      <c r="D3" s="5" t="s">
        <v>54</v>
      </c>
      <c r="E3" s="5" t="s">
        <v>55</v>
      </c>
      <c r="F3" s="5" t="s">
        <v>54</v>
      </c>
      <c r="G3" s="5" t="s">
        <v>55</v>
      </c>
      <c r="H3" s="5" t="s">
        <v>54</v>
      </c>
      <c r="I3" s="5" t="s">
        <v>55</v>
      </c>
      <c r="J3" s="5" t="s">
        <v>54</v>
      </c>
      <c r="K3" s="5" t="s">
        <v>55</v>
      </c>
      <c r="L3" s="5" t="s">
        <v>54</v>
      </c>
      <c r="M3" s="5" t="s">
        <v>55</v>
      </c>
      <c r="N3" s="5" t="s">
        <v>54</v>
      </c>
      <c r="O3" s="5" t="s">
        <v>55</v>
      </c>
      <c r="P3" s="5" t="s">
        <v>54</v>
      </c>
      <c r="Q3" s="5" t="s">
        <v>55</v>
      </c>
      <c r="R3" s="5" t="s">
        <v>54</v>
      </c>
      <c r="S3" s="5" t="s">
        <v>55</v>
      </c>
      <c r="T3" s="5" t="s">
        <v>54</v>
      </c>
      <c r="U3" s="5" t="s">
        <v>55</v>
      </c>
      <c r="V3" s="5" t="s">
        <v>54</v>
      </c>
      <c r="W3" s="5" t="s">
        <v>55</v>
      </c>
      <c r="X3" s="5" t="s">
        <v>54</v>
      </c>
      <c r="Y3" s="5" t="s">
        <v>55</v>
      </c>
      <c r="Z3" s="5" t="s">
        <v>54</v>
      </c>
      <c r="AA3" s="5" t="s">
        <v>55</v>
      </c>
      <c r="AB3" s="5" t="s">
        <v>54</v>
      </c>
      <c r="AC3" s="5" t="s">
        <v>55</v>
      </c>
      <c r="AD3" s="5" t="s">
        <v>54</v>
      </c>
      <c r="AE3" s="5" t="s">
        <v>55</v>
      </c>
      <c r="AF3" s="5" t="s">
        <v>54</v>
      </c>
      <c r="AG3" s="5" t="s">
        <v>55</v>
      </c>
      <c r="AH3" s="5" t="s">
        <v>54</v>
      </c>
      <c r="AI3" s="5" t="s">
        <v>55</v>
      </c>
      <c r="AJ3" s="5" t="s">
        <v>54</v>
      </c>
      <c r="AK3" s="5" t="s">
        <v>55</v>
      </c>
      <c r="AL3" s="5" t="s">
        <v>54</v>
      </c>
      <c r="AM3" s="5" t="s">
        <v>55</v>
      </c>
      <c r="AN3" s="5" t="s">
        <v>54</v>
      </c>
      <c r="AO3" s="5" t="s">
        <v>55</v>
      </c>
      <c r="AP3" s="5" t="s">
        <v>54</v>
      </c>
      <c r="AQ3" s="5" t="s">
        <v>55</v>
      </c>
      <c r="AR3" s="5" t="s">
        <v>54</v>
      </c>
      <c r="AS3" s="5" t="s">
        <v>55</v>
      </c>
      <c r="AT3" s="5" t="s">
        <v>54</v>
      </c>
      <c r="AU3" s="5" t="s">
        <v>55</v>
      </c>
      <c r="AV3" s="5" t="s">
        <v>54</v>
      </c>
      <c r="AW3" s="5" t="s">
        <v>55</v>
      </c>
    </row>
    <row r="4" spans="1:49" ht="43.2" x14ac:dyDescent="0.3">
      <c r="A4" s="4" t="s">
        <v>69</v>
      </c>
      <c r="B4" s="4" t="s">
        <v>1444</v>
      </c>
      <c r="C4" s="4" t="s">
        <v>1445</v>
      </c>
      <c r="D4" s="4" t="s">
        <v>1444</v>
      </c>
      <c r="E4" s="4" t="s">
        <v>1445</v>
      </c>
      <c r="F4" s="4" t="s">
        <v>1761</v>
      </c>
      <c r="G4" s="4" t="s">
        <v>1762</v>
      </c>
      <c r="H4" s="4" t="s">
        <v>1761</v>
      </c>
      <c r="I4" s="4" t="s">
        <v>1762</v>
      </c>
      <c r="J4" s="4" t="s">
        <v>1773</v>
      </c>
      <c r="K4" s="4" t="s">
        <v>1774</v>
      </c>
      <c r="L4" s="4" t="s">
        <v>1773</v>
      </c>
      <c r="M4" s="4" t="s">
        <v>1774</v>
      </c>
      <c r="N4" s="4" t="s">
        <v>1446</v>
      </c>
      <c r="O4" s="4" t="s">
        <v>1447</v>
      </c>
      <c r="P4" s="4" t="s">
        <v>1446</v>
      </c>
      <c r="Q4" s="4" t="s">
        <v>1447</v>
      </c>
      <c r="R4" s="4" t="s">
        <v>1764</v>
      </c>
      <c r="S4" s="4" t="s">
        <v>1765</v>
      </c>
      <c r="T4" s="4" t="s">
        <v>1764</v>
      </c>
      <c r="U4" s="4" t="s">
        <v>1765</v>
      </c>
      <c r="V4" s="4" t="s">
        <v>1776</v>
      </c>
      <c r="W4" s="4" t="s">
        <v>1777</v>
      </c>
      <c r="X4" s="4" t="s">
        <v>1776</v>
      </c>
      <c r="Y4" s="4" t="s">
        <v>1777</v>
      </c>
      <c r="Z4" s="4" t="s">
        <v>1449</v>
      </c>
      <c r="AA4" s="4" t="s">
        <v>1450</v>
      </c>
      <c r="AB4" s="4" t="s">
        <v>1449</v>
      </c>
      <c r="AC4" s="4" t="s">
        <v>1450</v>
      </c>
      <c r="AD4" s="4" t="s">
        <v>1767</v>
      </c>
      <c r="AE4" s="4" t="s">
        <v>1768</v>
      </c>
      <c r="AF4" s="4" t="s">
        <v>1767</v>
      </c>
      <c r="AG4" s="4" t="s">
        <v>1768</v>
      </c>
      <c r="AH4" s="4" t="s">
        <v>1779</v>
      </c>
      <c r="AI4" s="4" t="s">
        <v>1447</v>
      </c>
      <c r="AJ4" s="4" t="s">
        <v>1779</v>
      </c>
      <c r="AK4" s="4" t="s">
        <v>1447</v>
      </c>
      <c r="AL4" s="4" t="s">
        <v>1452</v>
      </c>
      <c r="AM4" s="4" t="s">
        <v>1453</v>
      </c>
      <c r="AN4" s="4" t="s">
        <v>1452</v>
      </c>
      <c r="AO4" s="4" t="s">
        <v>1453</v>
      </c>
      <c r="AP4" s="4" t="s">
        <v>1770</v>
      </c>
      <c r="AQ4" s="4" t="s">
        <v>1771</v>
      </c>
      <c r="AR4" s="4" t="s">
        <v>1770</v>
      </c>
      <c r="AS4" s="4" t="s">
        <v>1771</v>
      </c>
      <c r="AT4" s="4" t="s">
        <v>1781</v>
      </c>
      <c r="AU4" s="4" t="s">
        <v>1782</v>
      </c>
      <c r="AV4" s="4" t="s">
        <v>1781</v>
      </c>
      <c r="AW4" s="4" t="s">
        <v>1782</v>
      </c>
    </row>
    <row r="5" spans="1:49" ht="216" x14ac:dyDescent="0.3">
      <c r="A5" s="6" t="s">
        <v>2494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row>
    <row r="6" spans="1:49" ht="57.6" x14ac:dyDescent="0.3">
      <c r="A6" s="7" t="s">
        <v>2495</v>
      </c>
      <c r="B6" s="4" t="s">
        <v>2496</v>
      </c>
      <c r="C6" s="4" t="s">
        <v>2497</v>
      </c>
      <c r="D6" s="4" t="s">
        <v>167</v>
      </c>
      <c r="E6" s="4" t="s">
        <v>107</v>
      </c>
      <c r="F6" s="4" t="s">
        <v>2498</v>
      </c>
      <c r="G6" s="4" t="s">
        <v>1391</v>
      </c>
      <c r="H6" s="4" t="s">
        <v>144</v>
      </c>
      <c r="I6" s="4" t="s">
        <v>394</v>
      </c>
      <c r="J6" s="4" t="s">
        <v>2499</v>
      </c>
      <c r="K6" s="4" t="s">
        <v>354</v>
      </c>
      <c r="L6" s="4" t="s">
        <v>442</v>
      </c>
      <c r="M6" s="4" t="s">
        <v>1471</v>
      </c>
      <c r="N6" s="4" t="s">
        <v>2500</v>
      </c>
      <c r="O6" s="4" t="s">
        <v>512</v>
      </c>
      <c r="P6" s="4" t="s">
        <v>344</v>
      </c>
      <c r="Q6" s="4" t="s">
        <v>109</v>
      </c>
      <c r="R6" s="4" t="s">
        <v>2501</v>
      </c>
      <c r="S6" s="4" t="s">
        <v>2502</v>
      </c>
      <c r="T6" s="4" t="s">
        <v>373</v>
      </c>
      <c r="U6" s="4" t="s">
        <v>109</v>
      </c>
      <c r="V6" s="4" t="s">
        <v>2503</v>
      </c>
      <c r="W6" s="4" t="s">
        <v>2504</v>
      </c>
      <c r="X6" s="4" t="s">
        <v>1322</v>
      </c>
      <c r="Y6" s="4" t="s">
        <v>407</v>
      </c>
      <c r="Z6" s="4" t="s">
        <v>2505</v>
      </c>
      <c r="AA6" s="4" t="s">
        <v>2506</v>
      </c>
      <c r="AB6" s="4" t="s">
        <v>180</v>
      </c>
      <c r="AC6" s="4" t="s">
        <v>617</v>
      </c>
      <c r="AD6" s="4" t="s">
        <v>2507</v>
      </c>
      <c r="AE6" s="4" t="s">
        <v>2508</v>
      </c>
      <c r="AF6" s="4" t="s">
        <v>355</v>
      </c>
      <c r="AG6" s="4" t="s">
        <v>107</v>
      </c>
      <c r="AH6" s="4" t="s">
        <v>2509</v>
      </c>
      <c r="AI6" s="4" t="s">
        <v>2510</v>
      </c>
      <c r="AJ6" s="4" t="s">
        <v>923</v>
      </c>
      <c r="AK6" s="4" t="s">
        <v>1074</v>
      </c>
      <c r="AL6" s="4" t="s">
        <v>2511</v>
      </c>
      <c r="AM6" s="4" t="s">
        <v>2512</v>
      </c>
      <c r="AN6" s="4" t="s">
        <v>250</v>
      </c>
      <c r="AO6" s="4" t="s">
        <v>84</v>
      </c>
      <c r="AP6" s="4" t="s">
        <v>2513</v>
      </c>
      <c r="AQ6" s="4" t="s">
        <v>676</v>
      </c>
      <c r="AR6" s="4" t="s">
        <v>811</v>
      </c>
      <c r="AS6" s="4" t="s">
        <v>84</v>
      </c>
      <c r="AT6" s="4" t="s">
        <v>2514</v>
      </c>
      <c r="AU6" s="4" t="s">
        <v>1204</v>
      </c>
      <c r="AV6" s="4" t="s">
        <v>338</v>
      </c>
      <c r="AW6" s="4" t="s">
        <v>158</v>
      </c>
    </row>
    <row r="7" spans="1:49" ht="57.6" x14ac:dyDescent="0.3">
      <c r="A7" s="7" t="s">
        <v>2515</v>
      </c>
      <c r="B7" s="4" t="s">
        <v>2516</v>
      </c>
      <c r="C7" s="4" t="s">
        <v>2517</v>
      </c>
      <c r="D7" s="4" t="s">
        <v>814</v>
      </c>
      <c r="E7" s="4" t="s">
        <v>158</v>
      </c>
      <c r="F7" s="4" t="s">
        <v>2518</v>
      </c>
      <c r="G7" s="4" t="s">
        <v>2519</v>
      </c>
      <c r="H7" s="4" t="s">
        <v>131</v>
      </c>
      <c r="I7" s="4" t="s">
        <v>185</v>
      </c>
      <c r="J7" s="4" t="s">
        <v>2520</v>
      </c>
      <c r="K7" s="4" t="s">
        <v>1119</v>
      </c>
      <c r="L7" s="4" t="s">
        <v>814</v>
      </c>
      <c r="M7" s="4" t="s">
        <v>394</v>
      </c>
      <c r="N7" s="4" t="s">
        <v>2521</v>
      </c>
      <c r="O7" s="4" t="s">
        <v>2522</v>
      </c>
      <c r="P7" s="4" t="s">
        <v>838</v>
      </c>
      <c r="Q7" s="4" t="s">
        <v>77</v>
      </c>
      <c r="R7" s="4" t="s">
        <v>2523</v>
      </c>
      <c r="S7" s="4" t="s">
        <v>2524</v>
      </c>
      <c r="T7" s="4" t="s">
        <v>818</v>
      </c>
      <c r="U7" s="4" t="s">
        <v>127</v>
      </c>
      <c r="V7" s="4" t="s">
        <v>2525</v>
      </c>
      <c r="W7" s="4" t="s">
        <v>2526</v>
      </c>
      <c r="X7" s="4" t="s">
        <v>256</v>
      </c>
      <c r="Y7" s="4" t="s">
        <v>117</v>
      </c>
      <c r="Z7" s="4" t="s">
        <v>2527</v>
      </c>
      <c r="AA7" s="4" t="s">
        <v>2528</v>
      </c>
      <c r="AB7" s="4" t="s">
        <v>256</v>
      </c>
      <c r="AC7" s="4" t="s">
        <v>158</v>
      </c>
      <c r="AD7" s="4" t="s">
        <v>2529</v>
      </c>
      <c r="AE7" s="4" t="s">
        <v>2530</v>
      </c>
      <c r="AF7" s="4" t="s">
        <v>838</v>
      </c>
      <c r="AG7" s="4" t="s">
        <v>73</v>
      </c>
      <c r="AH7" s="4" t="s">
        <v>2531</v>
      </c>
      <c r="AI7" s="4" t="s">
        <v>2532</v>
      </c>
      <c r="AJ7" s="4" t="s">
        <v>161</v>
      </c>
      <c r="AK7" s="4" t="s">
        <v>617</v>
      </c>
      <c r="AL7" s="4" t="s">
        <v>2533</v>
      </c>
      <c r="AM7" s="4" t="s">
        <v>2534</v>
      </c>
      <c r="AN7" s="4" t="s">
        <v>814</v>
      </c>
      <c r="AO7" s="4" t="s">
        <v>84</v>
      </c>
      <c r="AP7" s="4" t="s">
        <v>2535</v>
      </c>
      <c r="AQ7" s="4" t="s">
        <v>2536</v>
      </c>
      <c r="AR7" s="4" t="s">
        <v>782</v>
      </c>
      <c r="AS7" s="4" t="s">
        <v>103</v>
      </c>
      <c r="AT7" s="4" t="s">
        <v>2537</v>
      </c>
      <c r="AU7" s="4" t="s">
        <v>1757</v>
      </c>
      <c r="AV7" s="4" t="s">
        <v>219</v>
      </c>
      <c r="AW7" s="4" t="s">
        <v>100</v>
      </c>
    </row>
    <row r="8" spans="1:49" ht="57.6" x14ac:dyDescent="0.3">
      <c r="A8" s="7" t="s">
        <v>2538</v>
      </c>
      <c r="B8" s="4" t="s">
        <v>2539</v>
      </c>
      <c r="C8" s="4" t="s">
        <v>2540</v>
      </c>
      <c r="D8" s="4" t="s">
        <v>373</v>
      </c>
      <c r="E8" s="4" t="s">
        <v>617</v>
      </c>
      <c r="F8" s="4" t="s">
        <v>2541</v>
      </c>
      <c r="G8" s="4" t="s">
        <v>2542</v>
      </c>
      <c r="H8" s="4" t="s">
        <v>131</v>
      </c>
      <c r="I8" s="4" t="s">
        <v>158</v>
      </c>
      <c r="J8" s="4" t="s">
        <v>2543</v>
      </c>
      <c r="K8" s="4" t="s">
        <v>2544</v>
      </c>
      <c r="L8" s="4" t="s">
        <v>157</v>
      </c>
      <c r="M8" s="4" t="s">
        <v>1058</v>
      </c>
      <c r="N8" s="4" t="s">
        <v>2545</v>
      </c>
      <c r="O8" s="4" t="s">
        <v>2546</v>
      </c>
      <c r="P8" s="4" t="s">
        <v>373</v>
      </c>
      <c r="Q8" s="4" t="s">
        <v>77</v>
      </c>
      <c r="R8" s="4" t="s">
        <v>2547</v>
      </c>
      <c r="S8" s="4" t="s">
        <v>2548</v>
      </c>
      <c r="T8" s="4" t="s">
        <v>152</v>
      </c>
      <c r="U8" s="4" t="s">
        <v>77</v>
      </c>
      <c r="V8" s="4" t="s">
        <v>2549</v>
      </c>
      <c r="W8" s="4" t="s">
        <v>2550</v>
      </c>
      <c r="X8" s="4" t="s">
        <v>469</v>
      </c>
      <c r="Y8" s="4" t="s">
        <v>73</v>
      </c>
      <c r="Z8" s="4" t="s">
        <v>1754</v>
      </c>
      <c r="AA8" s="4" t="s">
        <v>2551</v>
      </c>
      <c r="AB8" s="4" t="s">
        <v>2005</v>
      </c>
      <c r="AC8" s="4" t="s">
        <v>117</v>
      </c>
      <c r="AD8" s="4" t="s">
        <v>2552</v>
      </c>
      <c r="AE8" s="4" t="s">
        <v>2553</v>
      </c>
      <c r="AF8" s="4" t="s">
        <v>373</v>
      </c>
      <c r="AG8" s="4" t="s">
        <v>185</v>
      </c>
      <c r="AH8" s="4" t="s">
        <v>2554</v>
      </c>
      <c r="AI8" s="4" t="s">
        <v>499</v>
      </c>
      <c r="AJ8" s="4" t="s">
        <v>348</v>
      </c>
      <c r="AK8" s="4" t="s">
        <v>1074</v>
      </c>
      <c r="AL8" s="4" t="s">
        <v>2555</v>
      </c>
      <c r="AM8" s="4" t="s">
        <v>2556</v>
      </c>
      <c r="AN8" s="4" t="s">
        <v>219</v>
      </c>
      <c r="AO8" s="4" t="s">
        <v>127</v>
      </c>
      <c r="AP8" s="4" t="s">
        <v>2557</v>
      </c>
      <c r="AQ8" s="4" t="s">
        <v>2558</v>
      </c>
      <c r="AR8" s="4" t="s">
        <v>210</v>
      </c>
      <c r="AS8" s="4" t="s">
        <v>103</v>
      </c>
      <c r="AT8" s="4" t="s">
        <v>2559</v>
      </c>
      <c r="AU8" s="4" t="s">
        <v>2560</v>
      </c>
      <c r="AV8" s="4" t="s">
        <v>167</v>
      </c>
      <c r="AW8" s="4" t="s">
        <v>185</v>
      </c>
    </row>
    <row r="9" spans="1:49" ht="57.6" x14ac:dyDescent="0.3">
      <c r="A9" s="7" t="s">
        <v>2561</v>
      </c>
      <c r="B9" s="4" t="s">
        <v>2562</v>
      </c>
      <c r="C9" s="4" t="s">
        <v>2563</v>
      </c>
      <c r="D9" s="4" t="s">
        <v>920</v>
      </c>
      <c r="E9" s="4" t="s">
        <v>394</v>
      </c>
      <c r="F9" s="4" t="s">
        <v>2564</v>
      </c>
      <c r="G9" s="4" t="s">
        <v>453</v>
      </c>
      <c r="H9" s="4" t="s">
        <v>219</v>
      </c>
      <c r="I9" s="4" t="s">
        <v>107</v>
      </c>
      <c r="J9" s="4" t="s">
        <v>2565</v>
      </c>
      <c r="K9" s="4" t="s">
        <v>2566</v>
      </c>
      <c r="L9" s="4" t="s">
        <v>137</v>
      </c>
      <c r="M9" s="4" t="s">
        <v>1058</v>
      </c>
      <c r="N9" s="4" t="s">
        <v>1333</v>
      </c>
      <c r="O9" s="4" t="s">
        <v>2567</v>
      </c>
      <c r="P9" s="4" t="s">
        <v>250</v>
      </c>
      <c r="Q9" s="4" t="s">
        <v>109</v>
      </c>
      <c r="R9" s="4" t="s">
        <v>2568</v>
      </c>
      <c r="S9" s="4" t="s">
        <v>2569</v>
      </c>
      <c r="T9" s="4" t="s">
        <v>474</v>
      </c>
      <c r="U9" s="4" t="s">
        <v>109</v>
      </c>
      <c r="V9" s="4" t="s">
        <v>2570</v>
      </c>
      <c r="W9" s="4" t="s">
        <v>2571</v>
      </c>
      <c r="X9" s="4" t="s">
        <v>1620</v>
      </c>
      <c r="Y9" s="4" t="s">
        <v>617</v>
      </c>
      <c r="Z9" s="4" t="s">
        <v>2572</v>
      </c>
      <c r="AA9" s="4" t="s">
        <v>2573</v>
      </c>
      <c r="AB9" s="4" t="s">
        <v>344</v>
      </c>
      <c r="AC9" s="4" t="s">
        <v>185</v>
      </c>
      <c r="AD9" s="4" t="s">
        <v>2574</v>
      </c>
      <c r="AE9" s="4" t="s">
        <v>2575</v>
      </c>
      <c r="AF9" s="4" t="s">
        <v>373</v>
      </c>
      <c r="AG9" s="4" t="s">
        <v>117</v>
      </c>
      <c r="AH9" s="4" t="s">
        <v>2576</v>
      </c>
      <c r="AI9" s="4" t="s">
        <v>2577</v>
      </c>
      <c r="AJ9" s="4" t="s">
        <v>335</v>
      </c>
      <c r="AK9" s="4" t="s">
        <v>394</v>
      </c>
      <c r="AL9" s="4" t="s">
        <v>2578</v>
      </c>
      <c r="AM9" s="4" t="s">
        <v>2579</v>
      </c>
      <c r="AN9" s="4" t="s">
        <v>474</v>
      </c>
      <c r="AO9" s="4" t="s">
        <v>127</v>
      </c>
      <c r="AP9" s="4" t="s">
        <v>2580</v>
      </c>
      <c r="AQ9" s="4" t="s">
        <v>2581</v>
      </c>
      <c r="AR9" s="4" t="s">
        <v>818</v>
      </c>
      <c r="AS9" s="4" t="s">
        <v>84</v>
      </c>
      <c r="AT9" s="4" t="s">
        <v>2582</v>
      </c>
      <c r="AU9" s="4" t="s">
        <v>2583</v>
      </c>
      <c r="AV9" s="4" t="s">
        <v>235</v>
      </c>
      <c r="AW9" s="4" t="s">
        <v>158</v>
      </c>
    </row>
    <row r="10" spans="1:49" ht="57.6" x14ac:dyDescent="0.3">
      <c r="A10" s="7" t="s">
        <v>2584</v>
      </c>
      <c r="B10" s="4" t="s">
        <v>2585</v>
      </c>
      <c r="C10" s="4" t="s">
        <v>2586</v>
      </c>
      <c r="D10" s="4" t="s">
        <v>161</v>
      </c>
      <c r="E10" s="4" t="s">
        <v>591</v>
      </c>
      <c r="F10" s="4" t="s">
        <v>2587</v>
      </c>
      <c r="G10" s="4" t="s">
        <v>639</v>
      </c>
      <c r="H10" s="4" t="s">
        <v>706</v>
      </c>
      <c r="I10" s="4" t="s">
        <v>664</v>
      </c>
      <c r="J10" s="4" t="s">
        <v>2588</v>
      </c>
      <c r="K10" s="4" t="s">
        <v>1036</v>
      </c>
      <c r="L10" s="4" t="s">
        <v>389</v>
      </c>
      <c r="M10" s="4" t="s">
        <v>2153</v>
      </c>
      <c r="N10" s="4" t="s">
        <v>2589</v>
      </c>
      <c r="O10" s="4" t="s">
        <v>1996</v>
      </c>
      <c r="P10" s="4" t="s">
        <v>1034</v>
      </c>
      <c r="Q10" s="4" t="s">
        <v>100</v>
      </c>
      <c r="R10" s="4" t="s">
        <v>2590</v>
      </c>
      <c r="S10" s="4" t="s">
        <v>2591</v>
      </c>
      <c r="T10" s="4" t="s">
        <v>811</v>
      </c>
      <c r="U10" s="4" t="s">
        <v>77</v>
      </c>
      <c r="V10" s="4" t="s">
        <v>1209</v>
      </c>
      <c r="W10" s="4" t="s">
        <v>2592</v>
      </c>
      <c r="X10" s="4" t="s">
        <v>213</v>
      </c>
      <c r="Y10" s="4" t="s">
        <v>117</v>
      </c>
      <c r="Z10" s="4" t="s">
        <v>2593</v>
      </c>
      <c r="AA10" s="4" t="s">
        <v>2594</v>
      </c>
      <c r="AB10" s="4" t="s">
        <v>1322</v>
      </c>
      <c r="AC10" s="4" t="s">
        <v>73</v>
      </c>
      <c r="AD10" s="4" t="s">
        <v>2595</v>
      </c>
      <c r="AE10" s="4" t="s">
        <v>2596</v>
      </c>
      <c r="AF10" s="4" t="s">
        <v>161</v>
      </c>
      <c r="AG10" s="4" t="s">
        <v>617</v>
      </c>
      <c r="AH10" s="4" t="s">
        <v>2597</v>
      </c>
      <c r="AI10" s="4" t="s">
        <v>2598</v>
      </c>
      <c r="AJ10" s="4" t="s">
        <v>348</v>
      </c>
      <c r="AK10" s="4" t="s">
        <v>664</v>
      </c>
      <c r="AL10" s="4" t="s">
        <v>2599</v>
      </c>
      <c r="AM10" s="4" t="s">
        <v>2600</v>
      </c>
      <c r="AN10" s="4" t="s">
        <v>256</v>
      </c>
      <c r="AO10" s="4" t="s">
        <v>127</v>
      </c>
      <c r="AP10" s="4" t="s">
        <v>2601</v>
      </c>
      <c r="AQ10" s="4" t="s">
        <v>2602</v>
      </c>
      <c r="AR10" s="4" t="s">
        <v>838</v>
      </c>
      <c r="AS10" s="4" t="s">
        <v>84</v>
      </c>
      <c r="AT10" s="4" t="s">
        <v>2603</v>
      </c>
      <c r="AU10" s="4" t="s">
        <v>2604</v>
      </c>
      <c r="AV10" s="4" t="s">
        <v>2005</v>
      </c>
      <c r="AW10" s="4" t="s">
        <v>185</v>
      </c>
    </row>
    <row r="11" spans="1:49" ht="57.6" x14ac:dyDescent="0.3">
      <c r="A11" s="7" t="s">
        <v>2605</v>
      </c>
      <c r="B11" s="4" t="s">
        <v>2606</v>
      </c>
      <c r="C11" s="4" t="s">
        <v>1852</v>
      </c>
      <c r="D11" s="4" t="s">
        <v>640</v>
      </c>
      <c r="E11" s="4" t="s">
        <v>1418</v>
      </c>
      <c r="F11" s="4" t="s">
        <v>2607</v>
      </c>
      <c r="G11" s="4" t="s">
        <v>2608</v>
      </c>
      <c r="H11" s="4" t="s">
        <v>1510</v>
      </c>
      <c r="I11" s="4" t="s">
        <v>982</v>
      </c>
      <c r="J11" s="4" t="s">
        <v>2609</v>
      </c>
      <c r="K11" s="4" t="s">
        <v>2180</v>
      </c>
      <c r="L11" s="4" t="s">
        <v>291</v>
      </c>
      <c r="M11" s="4" t="s">
        <v>2610</v>
      </c>
      <c r="N11" s="4" t="s">
        <v>2611</v>
      </c>
      <c r="O11" s="4" t="s">
        <v>2612</v>
      </c>
      <c r="P11" s="4" t="s">
        <v>1022</v>
      </c>
      <c r="Q11" s="4" t="s">
        <v>73</v>
      </c>
      <c r="R11" s="4" t="s">
        <v>2613</v>
      </c>
      <c r="S11" s="4" t="s">
        <v>2614</v>
      </c>
      <c r="T11" s="4" t="s">
        <v>167</v>
      </c>
      <c r="U11" s="4" t="s">
        <v>158</v>
      </c>
      <c r="V11" s="4" t="s">
        <v>2615</v>
      </c>
      <c r="W11" s="4" t="s">
        <v>2616</v>
      </c>
      <c r="X11" s="4" t="s">
        <v>91</v>
      </c>
      <c r="Y11" s="4" t="s">
        <v>982</v>
      </c>
      <c r="Z11" s="4" t="s">
        <v>2617</v>
      </c>
      <c r="AA11" s="4" t="s">
        <v>2618</v>
      </c>
      <c r="AB11" s="4" t="s">
        <v>1041</v>
      </c>
      <c r="AC11" s="4" t="s">
        <v>73</v>
      </c>
      <c r="AD11" s="4" t="s">
        <v>2619</v>
      </c>
      <c r="AE11" s="4" t="s">
        <v>2620</v>
      </c>
      <c r="AF11" s="4" t="s">
        <v>1029</v>
      </c>
      <c r="AG11" s="4" t="s">
        <v>617</v>
      </c>
      <c r="AH11" s="4" t="s">
        <v>2621</v>
      </c>
      <c r="AI11" s="4" t="s">
        <v>2622</v>
      </c>
      <c r="AJ11" s="4" t="s">
        <v>331</v>
      </c>
      <c r="AK11" s="4" t="s">
        <v>591</v>
      </c>
      <c r="AL11" s="4" t="s">
        <v>2623</v>
      </c>
      <c r="AM11" s="4" t="s">
        <v>2624</v>
      </c>
      <c r="AN11" s="4" t="s">
        <v>206</v>
      </c>
      <c r="AO11" s="4" t="s">
        <v>100</v>
      </c>
      <c r="AP11" s="4" t="s">
        <v>2625</v>
      </c>
      <c r="AQ11" s="4" t="s">
        <v>2626</v>
      </c>
      <c r="AR11" s="4" t="s">
        <v>161</v>
      </c>
      <c r="AS11" s="4" t="s">
        <v>100</v>
      </c>
      <c r="AT11" s="4" t="s">
        <v>2627</v>
      </c>
      <c r="AU11" s="4" t="s">
        <v>2628</v>
      </c>
      <c r="AV11" s="4" t="s">
        <v>97</v>
      </c>
      <c r="AW11" s="4" t="s">
        <v>407</v>
      </c>
    </row>
    <row r="12" spans="1:49" ht="57.6" x14ac:dyDescent="0.3">
      <c r="A12" s="7" t="s">
        <v>2629</v>
      </c>
      <c r="B12" s="4" t="s">
        <v>2630</v>
      </c>
      <c r="C12" s="4" t="s">
        <v>1970</v>
      </c>
      <c r="D12" s="4" t="s">
        <v>88</v>
      </c>
      <c r="E12" s="4" t="s">
        <v>1418</v>
      </c>
      <c r="F12" s="4" t="s">
        <v>155</v>
      </c>
      <c r="G12" s="4" t="s">
        <v>2530</v>
      </c>
      <c r="H12" s="4" t="s">
        <v>990</v>
      </c>
      <c r="I12" s="4" t="s">
        <v>1507</v>
      </c>
      <c r="J12" s="4" t="s">
        <v>905</v>
      </c>
      <c r="K12" s="4" t="s">
        <v>2631</v>
      </c>
      <c r="L12" s="4" t="s">
        <v>2632</v>
      </c>
      <c r="M12" s="4" t="s">
        <v>2633</v>
      </c>
      <c r="N12" s="4" t="s">
        <v>2634</v>
      </c>
      <c r="O12" s="4" t="s">
        <v>2635</v>
      </c>
      <c r="P12" s="4" t="s">
        <v>197</v>
      </c>
      <c r="Q12" s="4" t="s">
        <v>117</v>
      </c>
      <c r="R12" s="4" t="s">
        <v>2636</v>
      </c>
      <c r="S12" s="4" t="s">
        <v>2637</v>
      </c>
      <c r="T12" s="4" t="s">
        <v>1533</v>
      </c>
      <c r="U12" s="4" t="s">
        <v>73</v>
      </c>
      <c r="V12" s="4" t="s">
        <v>2638</v>
      </c>
      <c r="W12" s="4" t="s">
        <v>2639</v>
      </c>
      <c r="X12" s="4" t="s">
        <v>1381</v>
      </c>
      <c r="Y12" s="4" t="s">
        <v>1507</v>
      </c>
      <c r="Z12" s="4" t="s">
        <v>2640</v>
      </c>
      <c r="AA12" s="4" t="s">
        <v>2641</v>
      </c>
      <c r="AB12" s="4" t="s">
        <v>695</v>
      </c>
      <c r="AC12" s="4" t="s">
        <v>107</v>
      </c>
      <c r="AD12" s="4" t="s">
        <v>2642</v>
      </c>
      <c r="AE12" s="4" t="s">
        <v>2643</v>
      </c>
      <c r="AF12" s="4" t="s">
        <v>430</v>
      </c>
      <c r="AG12" s="4" t="s">
        <v>1074</v>
      </c>
      <c r="AH12" s="4" t="s">
        <v>2644</v>
      </c>
      <c r="AI12" s="4" t="s">
        <v>2645</v>
      </c>
      <c r="AJ12" s="4" t="s">
        <v>891</v>
      </c>
      <c r="AK12" s="4" t="s">
        <v>1572</v>
      </c>
      <c r="AL12" s="4" t="s">
        <v>2646</v>
      </c>
      <c r="AM12" s="4" t="s">
        <v>2647</v>
      </c>
      <c r="AN12" s="4" t="s">
        <v>331</v>
      </c>
      <c r="AO12" s="4" t="s">
        <v>109</v>
      </c>
      <c r="AP12" s="4" t="s">
        <v>2648</v>
      </c>
      <c r="AQ12" s="4" t="s">
        <v>2649</v>
      </c>
      <c r="AR12" s="4" t="s">
        <v>180</v>
      </c>
      <c r="AS12" s="4" t="s">
        <v>100</v>
      </c>
      <c r="AT12" s="4" t="s">
        <v>2650</v>
      </c>
      <c r="AU12" s="4" t="s">
        <v>2651</v>
      </c>
      <c r="AV12" s="4" t="s">
        <v>909</v>
      </c>
      <c r="AW12" s="4" t="s">
        <v>664</v>
      </c>
    </row>
    <row r="13" spans="1:49" ht="57.6" x14ac:dyDescent="0.3">
      <c r="A13" s="7" t="s">
        <v>2652</v>
      </c>
      <c r="B13" s="4" t="s">
        <v>2653</v>
      </c>
      <c r="C13" s="4" t="s">
        <v>2654</v>
      </c>
      <c r="D13" s="4" t="s">
        <v>880</v>
      </c>
      <c r="E13" s="4" t="s">
        <v>1653</v>
      </c>
      <c r="F13" s="4" t="s">
        <v>2655</v>
      </c>
      <c r="G13" s="4" t="s">
        <v>1384</v>
      </c>
      <c r="H13" s="4" t="s">
        <v>1389</v>
      </c>
      <c r="I13" s="4" t="s">
        <v>1572</v>
      </c>
      <c r="J13" s="4" t="s">
        <v>2656</v>
      </c>
      <c r="K13" s="4" t="s">
        <v>2657</v>
      </c>
      <c r="L13" s="4" t="s">
        <v>2658</v>
      </c>
      <c r="M13" s="4" t="s">
        <v>2610</v>
      </c>
      <c r="N13" s="4" t="s">
        <v>2659</v>
      </c>
      <c r="O13" s="4" t="s">
        <v>2660</v>
      </c>
      <c r="P13" s="4" t="s">
        <v>606</v>
      </c>
      <c r="Q13" s="4" t="s">
        <v>407</v>
      </c>
      <c r="R13" s="4" t="s">
        <v>2661</v>
      </c>
      <c r="S13" s="4" t="s">
        <v>2662</v>
      </c>
      <c r="T13" s="4" t="s">
        <v>519</v>
      </c>
      <c r="U13" s="4" t="s">
        <v>407</v>
      </c>
      <c r="V13" s="4" t="s">
        <v>2663</v>
      </c>
      <c r="W13" s="4" t="s">
        <v>2664</v>
      </c>
      <c r="X13" s="4" t="s">
        <v>2665</v>
      </c>
      <c r="Y13" s="4" t="s">
        <v>1144</v>
      </c>
      <c r="Z13" s="4" t="s">
        <v>2666</v>
      </c>
      <c r="AA13" s="4" t="s">
        <v>2667</v>
      </c>
      <c r="AB13" s="4" t="s">
        <v>2089</v>
      </c>
      <c r="AC13" s="4" t="s">
        <v>664</v>
      </c>
      <c r="AD13" s="4" t="s">
        <v>2668</v>
      </c>
      <c r="AE13" s="4" t="s">
        <v>2669</v>
      </c>
      <c r="AF13" s="4" t="s">
        <v>420</v>
      </c>
      <c r="AG13" s="4" t="s">
        <v>1418</v>
      </c>
      <c r="AH13" s="4" t="s">
        <v>2670</v>
      </c>
      <c r="AI13" s="4" t="s">
        <v>2671</v>
      </c>
      <c r="AJ13" s="4" t="s">
        <v>304</v>
      </c>
      <c r="AK13" s="4" t="s">
        <v>1507</v>
      </c>
      <c r="AL13" s="4" t="s">
        <v>2672</v>
      </c>
      <c r="AM13" s="4" t="s">
        <v>2673</v>
      </c>
      <c r="AN13" s="4" t="s">
        <v>1025</v>
      </c>
      <c r="AO13" s="4" t="s">
        <v>185</v>
      </c>
      <c r="AP13" s="4" t="s">
        <v>2674</v>
      </c>
      <c r="AQ13" s="4" t="s">
        <v>2675</v>
      </c>
      <c r="AR13" s="4" t="s">
        <v>690</v>
      </c>
      <c r="AS13" s="4" t="s">
        <v>73</v>
      </c>
      <c r="AT13" s="4" t="s">
        <v>2676</v>
      </c>
      <c r="AU13" s="4" t="s">
        <v>2677</v>
      </c>
      <c r="AV13" s="4" t="s">
        <v>2678</v>
      </c>
      <c r="AW13" s="4" t="s">
        <v>664</v>
      </c>
    </row>
    <row r="14" spans="1:49" ht="57.6" x14ac:dyDescent="0.3">
      <c r="A14" s="7" t="s">
        <v>2679</v>
      </c>
      <c r="B14" s="4" t="s">
        <v>2680</v>
      </c>
      <c r="C14" s="4" t="s">
        <v>2522</v>
      </c>
      <c r="D14" s="4" t="s">
        <v>301</v>
      </c>
      <c r="E14" s="4" t="s">
        <v>1058</v>
      </c>
      <c r="F14" s="4" t="s">
        <v>2681</v>
      </c>
      <c r="G14" s="4" t="s">
        <v>2682</v>
      </c>
      <c r="H14" s="4" t="s">
        <v>439</v>
      </c>
      <c r="I14" s="4" t="s">
        <v>1070</v>
      </c>
      <c r="J14" s="4" t="s">
        <v>2683</v>
      </c>
      <c r="K14" s="4" t="s">
        <v>2684</v>
      </c>
      <c r="L14" s="4" t="s">
        <v>91</v>
      </c>
      <c r="M14" s="4" t="s">
        <v>2084</v>
      </c>
      <c r="N14" s="4" t="s">
        <v>2685</v>
      </c>
      <c r="O14" s="4" t="s">
        <v>2686</v>
      </c>
      <c r="P14" s="4" t="s">
        <v>310</v>
      </c>
      <c r="Q14" s="4" t="s">
        <v>617</v>
      </c>
      <c r="R14" s="4" t="s">
        <v>2687</v>
      </c>
      <c r="S14" s="4" t="s">
        <v>2688</v>
      </c>
      <c r="T14" s="4" t="s">
        <v>480</v>
      </c>
      <c r="U14" s="4" t="s">
        <v>107</v>
      </c>
      <c r="V14" s="4" t="s">
        <v>2689</v>
      </c>
      <c r="W14" s="4" t="s">
        <v>2690</v>
      </c>
      <c r="X14" s="4" t="s">
        <v>402</v>
      </c>
      <c r="Y14" s="4" t="s">
        <v>1058</v>
      </c>
      <c r="Z14" s="4" t="s">
        <v>2691</v>
      </c>
      <c r="AA14" s="4" t="s">
        <v>2692</v>
      </c>
      <c r="AB14" s="4" t="s">
        <v>1695</v>
      </c>
      <c r="AC14" s="4" t="s">
        <v>394</v>
      </c>
      <c r="AD14" s="4" t="s">
        <v>2693</v>
      </c>
      <c r="AE14" s="4" t="s">
        <v>2694</v>
      </c>
      <c r="AF14" s="4" t="s">
        <v>433</v>
      </c>
      <c r="AG14" s="4" t="s">
        <v>591</v>
      </c>
      <c r="AH14" s="4" t="s">
        <v>2695</v>
      </c>
      <c r="AI14" s="4" t="s">
        <v>2696</v>
      </c>
      <c r="AJ14" s="4" t="s">
        <v>648</v>
      </c>
      <c r="AK14" s="4" t="s">
        <v>982</v>
      </c>
      <c r="AL14" s="4" t="s">
        <v>2697</v>
      </c>
      <c r="AM14" s="4" t="s">
        <v>2698</v>
      </c>
      <c r="AN14" s="4" t="s">
        <v>480</v>
      </c>
      <c r="AO14" s="4" t="s">
        <v>109</v>
      </c>
      <c r="AP14" s="4" t="s">
        <v>2699</v>
      </c>
      <c r="AQ14" s="4" t="s">
        <v>2700</v>
      </c>
      <c r="AR14" s="4" t="s">
        <v>88</v>
      </c>
      <c r="AS14" s="4" t="s">
        <v>158</v>
      </c>
      <c r="AT14" s="4" t="s">
        <v>2701</v>
      </c>
      <c r="AU14" s="4" t="s">
        <v>2702</v>
      </c>
      <c r="AV14" s="4" t="s">
        <v>2188</v>
      </c>
      <c r="AW14" s="4" t="s">
        <v>394</v>
      </c>
    </row>
    <row r="15" spans="1:49" ht="57.6" x14ac:dyDescent="0.3">
      <c r="A15" s="7" t="s">
        <v>872</v>
      </c>
      <c r="B15" s="4" t="s">
        <v>2703</v>
      </c>
      <c r="C15" s="4" t="s">
        <v>2704</v>
      </c>
      <c r="D15" s="4" t="s">
        <v>1704</v>
      </c>
      <c r="E15" s="4" t="s">
        <v>1418</v>
      </c>
      <c r="F15" s="4" t="s">
        <v>2705</v>
      </c>
      <c r="G15" s="4" t="s">
        <v>382</v>
      </c>
      <c r="H15" s="4" t="s">
        <v>1229</v>
      </c>
      <c r="I15" s="4" t="s">
        <v>2084</v>
      </c>
      <c r="J15" s="4" t="s">
        <v>2706</v>
      </c>
      <c r="K15" s="4" t="s">
        <v>2707</v>
      </c>
      <c r="L15" s="4" t="s">
        <v>325</v>
      </c>
      <c r="M15" s="4" t="s">
        <v>2369</v>
      </c>
      <c r="N15" s="4" t="s">
        <v>2708</v>
      </c>
      <c r="O15" s="4" t="s">
        <v>2709</v>
      </c>
      <c r="P15" s="4" t="s">
        <v>2710</v>
      </c>
      <c r="Q15" s="4" t="s">
        <v>407</v>
      </c>
      <c r="R15" s="4" t="s">
        <v>2711</v>
      </c>
      <c r="S15" s="4" t="s">
        <v>2712</v>
      </c>
      <c r="T15" s="4" t="s">
        <v>2253</v>
      </c>
      <c r="U15" s="4" t="s">
        <v>1074</v>
      </c>
      <c r="V15" s="4" t="s">
        <v>2713</v>
      </c>
      <c r="W15" s="4" t="s">
        <v>2714</v>
      </c>
      <c r="X15" s="4" t="s">
        <v>313</v>
      </c>
      <c r="Y15" s="4" t="s">
        <v>591</v>
      </c>
      <c r="Z15" s="4" t="s">
        <v>1404</v>
      </c>
      <c r="AA15" s="4" t="s">
        <v>2070</v>
      </c>
      <c r="AB15" s="4" t="s">
        <v>450</v>
      </c>
      <c r="AC15" s="4" t="s">
        <v>617</v>
      </c>
      <c r="AD15" s="4" t="s">
        <v>2715</v>
      </c>
      <c r="AE15" s="4" t="s">
        <v>2716</v>
      </c>
      <c r="AF15" s="4" t="s">
        <v>281</v>
      </c>
      <c r="AG15" s="4" t="s">
        <v>982</v>
      </c>
      <c r="AH15" s="4" t="s">
        <v>2717</v>
      </c>
      <c r="AI15" s="4" t="s">
        <v>948</v>
      </c>
      <c r="AJ15" s="4" t="s">
        <v>1408</v>
      </c>
      <c r="AK15" s="4" t="s">
        <v>946</v>
      </c>
      <c r="AL15" s="4" t="s">
        <v>2718</v>
      </c>
      <c r="AM15" s="4" t="s">
        <v>2719</v>
      </c>
      <c r="AN15" s="4" t="s">
        <v>328</v>
      </c>
      <c r="AO15" s="4" t="s">
        <v>109</v>
      </c>
      <c r="AP15" s="4" t="s">
        <v>2720</v>
      </c>
      <c r="AQ15" s="4" t="s">
        <v>2721</v>
      </c>
      <c r="AR15" s="4" t="s">
        <v>1102</v>
      </c>
      <c r="AS15" s="4" t="s">
        <v>73</v>
      </c>
      <c r="AT15" s="4" t="s">
        <v>2722</v>
      </c>
      <c r="AU15" s="4" t="s">
        <v>2723</v>
      </c>
      <c r="AV15" s="4" t="s">
        <v>2113</v>
      </c>
      <c r="AW15" s="4" t="s">
        <v>407</v>
      </c>
    </row>
    <row r="16" spans="1:49" ht="43.2" x14ac:dyDescent="0.3">
      <c r="A16" s="7" t="s">
        <v>2724</v>
      </c>
      <c r="B16" s="4" t="s">
        <v>2725</v>
      </c>
      <c r="C16" s="4" t="s">
        <v>2726</v>
      </c>
      <c r="D16" s="4" t="s">
        <v>2151</v>
      </c>
      <c r="E16" s="4" t="s">
        <v>946</v>
      </c>
      <c r="F16" s="4" t="s">
        <v>2727</v>
      </c>
      <c r="G16" s="4" t="s">
        <v>1981</v>
      </c>
      <c r="H16" s="4" t="s">
        <v>2728</v>
      </c>
      <c r="I16" s="4" t="s">
        <v>2084</v>
      </c>
      <c r="J16" s="4" t="s">
        <v>2729</v>
      </c>
      <c r="K16" s="4" t="s">
        <v>837</v>
      </c>
      <c r="L16" s="4" t="s">
        <v>1330</v>
      </c>
      <c r="M16" s="4" t="s">
        <v>407</v>
      </c>
      <c r="N16" s="4" t="s">
        <v>2730</v>
      </c>
      <c r="O16" s="4" t="s">
        <v>2731</v>
      </c>
      <c r="P16" s="4" t="s">
        <v>906</v>
      </c>
      <c r="Q16" s="4" t="s">
        <v>617</v>
      </c>
      <c r="R16" s="4" t="s">
        <v>2732</v>
      </c>
      <c r="S16" s="4" t="s">
        <v>2733</v>
      </c>
      <c r="T16" s="4" t="s">
        <v>1802</v>
      </c>
      <c r="U16" s="4" t="s">
        <v>1382</v>
      </c>
      <c r="V16" s="4" t="s">
        <v>2734</v>
      </c>
      <c r="W16" s="4" t="s">
        <v>2735</v>
      </c>
      <c r="X16" s="4" t="s">
        <v>457</v>
      </c>
      <c r="Y16" s="4" t="s">
        <v>664</v>
      </c>
      <c r="Z16" s="4" t="s">
        <v>2736</v>
      </c>
      <c r="AA16" s="4" t="s">
        <v>2737</v>
      </c>
      <c r="AB16" s="4" t="s">
        <v>200</v>
      </c>
      <c r="AC16" s="4" t="s">
        <v>185</v>
      </c>
      <c r="AD16" s="4" t="s">
        <v>2738</v>
      </c>
      <c r="AE16" s="4" t="s">
        <v>2739</v>
      </c>
      <c r="AF16" s="4" t="s">
        <v>298</v>
      </c>
      <c r="AG16" s="4" t="s">
        <v>591</v>
      </c>
      <c r="AH16" s="4" t="s">
        <v>2740</v>
      </c>
      <c r="AI16" s="4" t="s">
        <v>2741</v>
      </c>
      <c r="AJ16" s="4" t="s">
        <v>144</v>
      </c>
      <c r="AK16" s="4" t="s">
        <v>617</v>
      </c>
      <c r="AL16" s="4" t="s">
        <v>2742</v>
      </c>
      <c r="AM16" s="4" t="s">
        <v>2743</v>
      </c>
      <c r="AN16" s="4" t="s">
        <v>2665</v>
      </c>
      <c r="AO16" s="4" t="s">
        <v>158</v>
      </c>
      <c r="AP16" s="4" t="s">
        <v>2744</v>
      </c>
      <c r="AQ16" s="4" t="s">
        <v>2745</v>
      </c>
      <c r="AR16" s="4" t="s">
        <v>1089</v>
      </c>
      <c r="AS16" s="4" t="s">
        <v>117</v>
      </c>
      <c r="AT16" s="4" t="s">
        <v>2746</v>
      </c>
      <c r="AU16" s="4" t="s">
        <v>2747</v>
      </c>
      <c r="AV16" s="4" t="s">
        <v>1022</v>
      </c>
      <c r="AW16" s="4" t="s">
        <v>73</v>
      </c>
    </row>
    <row r="17" spans="1:49" ht="115.2" x14ac:dyDescent="0.3">
      <c r="A17" s="7" t="s">
        <v>2748</v>
      </c>
      <c r="B17" s="4" t="s">
        <v>2749</v>
      </c>
      <c r="C17" s="4" t="s">
        <v>2750</v>
      </c>
      <c r="D17" s="4" t="s">
        <v>2749</v>
      </c>
      <c r="E17" s="4" t="s">
        <v>2750</v>
      </c>
      <c r="F17" s="4" t="s">
        <v>2751</v>
      </c>
      <c r="G17" s="4" t="s">
        <v>2752</v>
      </c>
      <c r="H17" s="4" t="s">
        <v>2751</v>
      </c>
      <c r="I17" s="4" t="s">
        <v>2752</v>
      </c>
      <c r="J17" s="4" t="s">
        <v>2753</v>
      </c>
      <c r="K17" s="4" t="s">
        <v>2754</v>
      </c>
      <c r="L17" s="4" t="s">
        <v>2753</v>
      </c>
      <c r="M17" s="4" t="s">
        <v>2754</v>
      </c>
      <c r="N17" s="4" t="s">
        <v>2755</v>
      </c>
      <c r="O17" s="4" t="s">
        <v>2756</v>
      </c>
      <c r="P17" s="4" t="s">
        <v>2755</v>
      </c>
      <c r="Q17" s="4" t="s">
        <v>2756</v>
      </c>
      <c r="R17" s="4" t="s">
        <v>2757</v>
      </c>
      <c r="S17" s="4" t="s">
        <v>2758</v>
      </c>
      <c r="T17" s="4" t="s">
        <v>2757</v>
      </c>
      <c r="U17" s="4" t="s">
        <v>2758</v>
      </c>
      <c r="V17" s="4" t="s">
        <v>2759</v>
      </c>
      <c r="W17" s="4" t="s">
        <v>2760</v>
      </c>
      <c r="X17" s="4" t="s">
        <v>2759</v>
      </c>
      <c r="Y17" s="4" t="s">
        <v>2760</v>
      </c>
      <c r="Z17" s="4" t="s">
        <v>2761</v>
      </c>
      <c r="AA17" s="4" t="s">
        <v>2762</v>
      </c>
      <c r="AB17" s="4" t="s">
        <v>2761</v>
      </c>
      <c r="AC17" s="4" t="s">
        <v>2762</v>
      </c>
      <c r="AD17" s="4" t="s">
        <v>2763</v>
      </c>
      <c r="AE17" s="4" t="s">
        <v>2764</v>
      </c>
      <c r="AF17" s="4" t="s">
        <v>2763</v>
      </c>
      <c r="AG17" s="4" t="s">
        <v>2764</v>
      </c>
      <c r="AH17" s="4" t="s">
        <v>2765</v>
      </c>
      <c r="AI17" s="4" t="s">
        <v>2766</v>
      </c>
      <c r="AJ17" s="4" t="s">
        <v>2765</v>
      </c>
      <c r="AK17" s="4" t="s">
        <v>2766</v>
      </c>
      <c r="AL17" s="4" t="s">
        <v>2767</v>
      </c>
      <c r="AM17" s="4" t="s">
        <v>2768</v>
      </c>
      <c r="AN17" s="4" t="s">
        <v>2767</v>
      </c>
      <c r="AO17" s="4" t="s">
        <v>2768</v>
      </c>
      <c r="AP17" s="4" t="s">
        <v>2769</v>
      </c>
      <c r="AQ17" s="4" t="s">
        <v>2766</v>
      </c>
      <c r="AR17" s="4" t="s">
        <v>2769</v>
      </c>
      <c r="AS17" s="4" t="s">
        <v>2766</v>
      </c>
      <c r="AT17" s="4" t="s">
        <v>2770</v>
      </c>
      <c r="AU17" s="4" t="s">
        <v>2771</v>
      </c>
      <c r="AV17" s="4" t="s">
        <v>2770</v>
      </c>
      <c r="AW17" s="4" t="s">
        <v>2771</v>
      </c>
    </row>
    <row r="18" spans="1:49" ht="72" x14ac:dyDescent="0.3">
      <c r="A18" s="6" t="s">
        <v>2772</v>
      </c>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row>
    <row r="19" spans="1:49" ht="43.2" x14ac:dyDescent="0.3">
      <c r="A19" s="7" t="s">
        <v>2773</v>
      </c>
      <c r="B19" s="4" t="s">
        <v>2774</v>
      </c>
      <c r="C19" s="4" t="s">
        <v>2775</v>
      </c>
      <c r="D19" s="4" t="s">
        <v>920</v>
      </c>
      <c r="E19" s="4" t="s">
        <v>407</v>
      </c>
      <c r="F19" s="4" t="s">
        <v>2776</v>
      </c>
      <c r="G19" s="4" t="s">
        <v>2777</v>
      </c>
      <c r="H19" s="4" t="s">
        <v>157</v>
      </c>
      <c r="I19" s="4" t="s">
        <v>591</v>
      </c>
      <c r="J19" s="4" t="s">
        <v>2778</v>
      </c>
      <c r="K19" s="4" t="s">
        <v>2779</v>
      </c>
      <c r="L19" s="4" t="s">
        <v>1034</v>
      </c>
      <c r="M19" s="4" t="s">
        <v>946</v>
      </c>
      <c r="N19" s="4" t="s">
        <v>2780</v>
      </c>
      <c r="O19" s="4" t="s">
        <v>2781</v>
      </c>
      <c r="P19" s="4" t="s">
        <v>344</v>
      </c>
      <c r="Q19" s="4" t="s">
        <v>77</v>
      </c>
      <c r="R19" s="4" t="s">
        <v>2782</v>
      </c>
      <c r="S19" s="4" t="s">
        <v>2783</v>
      </c>
      <c r="T19" s="4" t="s">
        <v>174</v>
      </c>
      <c r="U19" s="4" t="s">
        <v>109</v>
      </c>
      <c r="V19" s="4" t="s">
        <v>2784</v>
      </c>
      <c r="W19" s="4" t="s">
        <v>2785</v>
      </c>
      <c r="X19" s="4" t="s">
        <v>838</v>
      </c>
      <c r="Y19" s="4" t="s">
        <v>109</v>
      </c>
      <c r="Z19" s="4" t="s">
        <v>2786</v>
      </c>
      <c r="AA19" s="4" t="s">
        <v>2787</v>
      </c>
      <c r="AB19" s="4" t="s">
        <v>256</v>
      </c>
      <c r="AC19" s="4" t="s">
        <v>100</v>
      </c>
      <c r="AD19" s="4" t="s">
        <v>2788</v>
      </c>
      <c r="AE19" s="4" t="s">
        <v>2789</v>
      </c>
      <c r="AF19" s="4" t="s">
        <v>335</v>
      </c>
      <c r="AG19" s="4" t="s">
        <v>73</v>
      </c>
      <c r="AH19" s="4" t="s">
        <v>2790</v>
      </c>
      <c r="AI19" s="4" t="s">
        <v>2791</v>
      </c>
      <c r="AJ19" s="4" t="s">
        <v>814</v>
      </c>
      <c r="AK19" s="4" t="s">
        <v>158</v>
      </c>
      <c r="AL19" s="4" t="s">
        <v>2792</v>
      </c>
      <c r="AM19" s="4" t="s">
        <v>1671</v>
      </c>
      <c r="AN19" s="4" t="s">
        <v>706</v>
      </c>
      <c r="AO19" s="4" t="s">
        <v>84</v>
      </c>
      <c r="AP19" s="4" t="s">
        <v>2793</v>
      </c>
      <c r="AQ19" s="4" t="s">
        <v>2794</v>
      </c>
      <c r="AR19" s="4" t="s">
        <v>1330</v>
      </c>
      <c r="AS19" s="4" t="s">
        <v>127</v>
      </c>
      <c r="AT19" s="4" t="s">
        <v>2795</v>
      </c>
      <c r="AU19" s="4" t="s">
        <v>2796</v>
      </c>
      <c r="AV19" s="4" t="s">
        <v>152</v>
      </c>
      <c r="AW19" s="4" t="s">
        <v>77</v>
      </c>
    </row>
    <row r="20" spans="1:49" ht="43.2" x14ac:dyDescent="0.3">
      <c r="A20" s="7" t="s">
        <v>2797</v>
      </c>
      <c r="B20" s="4" t="s">
        <v>2798</v>
      </c>
      <c r="C20" s="4" t="s">
        <v>2799</v>
      </c>
      <c r="D20" s="4" t="s">
        <v>659</v>
      </c>
      <c r="E20" s="4" t="s">
        <v>617</v>
      </c>
      <c r="F20" s="4" t="s">
        <v>2800</v>
      </c>
      <c r="G20" s="4" t="s">
        <v>2801</v>
      </c>
      <c r="H20" s="4" t="s">
        <v>1240</v>
      </c>
      <c r="I20" s="4" t="s">
        <v>1507</v>
      </c>
      <c r="J20" s="4" t="s">
        <v>2802</v>
      </c>
      <c r="K20" s="4" t="s">
        <v>737</v>
      </c>
      <c r="L20" s="4" t="s">
        <v>240</v>
      </c>
      <c r="M20" s="4" t="s">
        <v>185</v>
      </c>
      <c r="N20" s="4" t="s">
        <v>2803</v>
      </c>
      <c r="O20" s="4" t="s">
        <v>2804</v>
      </c>
      <c r="P20" s="4" t="s">
        <v>355</v>
      </c>
      <c r="Q20" s="4" t="s">
        <v>100</v>
      </c>
      <c r="R20" s="4" t="s">
        <v>2805</v>
      </c>
      <c r="S20" s="4" t="s">
        <v>2806</v>
      </c>
      <c r="T20" s="4" t="s">
        <v>640</v>
      </c>
      <c r="U20" s="4" t="s">
        <v>185</v>
      </c>
      <c r="V20" s="4" t="s">
        <v>2807</v>
      </c>
      <c r="W20" s="4" t="s">
        <v>2808</v>
      </c>
      <c r="X20" s="4" t="s">
        <v>149</v>
      </c>
      <c r="Y20" s="4" t="s">
        <v>158</v>
      </c>
      <c r="Z20" s="4" t="s">
        <v>2809</v>
      </c>
      <c r="AA20" s="4" t="s">
        <v>2810</v>
      </c>
      <c r="AB20" s="4" t="s">
        <v>1982</v>
      </c>
      <c r="AC20" s="4" t="s">
        <v>73</v>
      </c>
      <c r="AD20" s="4" t="s">
        <v>2811</v>
      </c>
      <c r="AE20" s="4" t="s">
        <v>2812</v>
      </c>
      <c r="AF20" s="4" t="s">
        <v>439</v>
      </c>
      <c r="AG20" s="4" t="s">
        <v>982</v>
      </c>
      <c r="AH20" s="4" t="s">
        <v>2813</v>
      </c>
      <c r="AI20" s="4" t="s">
        <v>2814</v>
      </c>
      <c r="AJ20" s="4" t="s">
        <v>152</v>
      </c>
      <c r="AK20" s="4" t="s">
        <v>109</v>
      </c>
      <c r="AL20" s="4" t="s">
        <v>2815</v>
      </c>
      <c r="AM20" s="4" t="s">
        <v>2816</v>
      </c>
      <c r="AN20" s="4" t="s">
        <v>920</v>
      </c>
      <c r="AO20" s="4" t="s">
        <v>127</v>
      </c>
      <c r="AP20" s="4" t="s">
        <v>2817</v>
      </c>
      <c r="AQ20" s="4" t="s">
        <v>2818</v>
      </c>
      <c r="AR20" s="4" t="s">
        <v>338</v>
      </c>
      <c r="AS20" s="4" t="s">
        <v>77</v>
      </c>
      <c r="AT20" s="4" t="s">
        <v>2819</v>
      </c>
      <c r="AU20" s="4" t="s">
        <v>2820</v>
      </c>
      <c r="AV20" s="4" t="s">
        <v>474</v>
      </c>
      <c r="AW20" s="4" t="s">
        <v>127</v>
      </c>
    </row>
    <row r="21" spans="1:49" ht="43.2" x14ac:dyDescent="0.3">
      <c r="A21" s="7" t="s">
        <v>2821</v>
      </c>
      <c r="B21" s="4" t="s">
        <v>2822</v>
      </c>
      <c r="C21" s="4" t="s">
        <v>2823</v>
      </c>
      <c r="D21" s="4" t="s">
        <v>1990</v>
      </c>
      <c r="E21" s="4" t="s">
        <v>946</v>
      </c>
      <c r="F21" s="4" t="s">
        <v>2824</v>
      </c>
      <c r="G21" s="4" t="s">
        <v>2825</v>
      </c>
      <c r="H21" s="4" t="s">
        <v>880</v>
      </c>
      <c r="I21" s="4" t="s">
        <v>2153</v>
      </c>
      <c r="J21" s="4" t="s">
        <v>2826</v>
      </c>
      <c r="K21" s="4" t="s">
        <v>2827</v>
      </c>
      <c r="L21" s="4" t="s">
        <v>325</v>
      </c>
      <c r="M21" s="4" t="s">
        <v>1070</v>
      </c>
      <c r="N21" s="4" t="s">
        <v>2828</v>
      </c>
      <c r="O21" s="4" t="s">
        <v>2829</v>
      </c>
      <c r="P21" s="4" t="s">
        <v>97</v>
      </c>
      <c r="Q21" s="4" t="s">
        <v>185</v>
      </c>
      <c r="R21" s="4" t="s">
        <v>2830</v>
      </c>
      <c r="S21" s="4" t="s">
        <v>2831</v>
      </c>
      <c r="T21" s="4" t="s">
        <v>301</v>
      </c>
      <c r="U21" s="4" t="s">
        <v>407</v>
      </c>
      <c r="V21" s="4" t="s">
        <v>2832</v>
      </c>
      <c r="W21" s="4" t="s">
        <v>2833</v>
      </c>
      <c r="X21" s="4" t="s">
        <v>157</v>
      </c>
      <c r="Y21" s="4" t="s">
        <v>407</v>
      </c>
      <c r="Z21" s="4" t="s">
        <v>2834</v>
      </c>
      <c r="AA21" s="4" t="s">
        <v>2835</v>
      </c>
      <c r="AB21" s="4" t="s">
        <v>272</v>
      </c>
      <c r="AC21" s="4" t="s">
        <v>407</v>
      </c>
      <c r="AD21" s="4" t="s">
        <v>2836</v>
      </c>
      <c r="AE21" s="4" t="s">
        <v>2837</v>
      </c>
      <c r="AF21" s="4" t="s">
        <v>2838</v>
      </c>
      <c r="AG21" s="4" t="s">
        <v>1074</v>
      </c>
      <c r="AH21" s="4" t="s">
        <v>2839</v>
      </c>
      <c r="AI21" s="4" t="s">
        <v>2840</v>
      </c>
      <c r="AJ21" s="4" t="s">
        <v>1037</v>
      </c>
      <c r="AK21" s="4" t="s">
        <v>591</v>
      </c>
      <c r="AL21" s="4" t="s">
        <v>2841</v>
      </c>
      <c r="AM21" s="4" t="s">
        <v>2842</v>
      </c>
      <c r="AN21" s="4" t="s">
        <v>97</v>
      </c>
      <c r="AO21" s="4" t="s">
        <v>100</v>
      </c>
      <c r="AP21" s="4" t="s">
        <v>2843</v>
      </c>
      <c r="AQ21" s="4" t="s">
        <v>2844</v>
      </c>
      <c r="AR21" s="4" t="s">
        <v>450</v>
      </c>
      <c r="AS21" s="4" t="s">
        <v>109</v>
      </c>
      <c r="AT21" s="4" t="s">
        <v>2845</v>
      </c>
      <c r="AU21" s="4" t="s">
        <v>2846</v>
      </c>
      <c r="AV21" s="4" t="s">
        <v>1620</v>
      </c>
      <c r="AW21" s="4" t="s">
        <v>185</v>
      </c>
    </row>
    <row r="22" spans="1:49" ht="43.2" x14ac:dyDescent="0.3">
      <c r="A22" s="7" t="s">
        <v>1103</v>
      </c>
      <c r="B22" s="4" t="s">
        <v>2847</v>
      </c>
      <c r="C22" s="4" t="s">
        <v>2848</v>
      </c>
      <c r="D22" s="4" t="s">
        <v>480</v>
      </c>
      <c r="E22" s="4" t="s">
        <v>1144</v>
      </c>
      <c r="F22" s="4" t="s">
        <v>2849</v>
      </c>
      <c r="G22" s="4" t="s">
        <v>2850</v>
      </c>
      <c r="H22" s="4" t="s">
        <v>341</v>
      </c>
      <c r="I22" s="4" t="s">
        <v>946</v>
      </c>
      <c r="J22" s="4" t="s">
        <v>2851</v>
      </c>
      <c r="K22" s="4" t="s">
        <v>2852</v>
      </c>
      <c r="L22" s="4" t="s">
        <v>2185</v>
      </c>
      <c r="M22" s="4" t="s">
        <v>2610</v>
      </c>
      <c r="N22" s="4" t="s">
        <v>2853</v>
      </c>
      <c r="O22" s="4" t="s">
        <v>2854</v>
      </c>
      <c r="P22" s="4" t="s">
        <v>265</v>
      </c>
      <c r="Q22" s="4" t="s">
        <v>185</v>
      </c>
      <c r="R22" s="4" t="s">
        <v>2855</v>
      </c>
      <c r="S22" s="4" t="s">
        <v>2856</v>
      </c>
      <c r="T22" s="4" t="s">
        <v>1522</v>
      </c>
      <c r="U22" s="4" t="s">
        <v>617</v>
      </c>
      <c r="V22" s="4" t="s">
        <v>2857</v>
      </c>
      <c r="W22" s="4" t="s">
        <v>2858</v>
      </c>
      <c r="X22" s="4" t="s">
        <v>1848</v>
      </c>
      <c r="Y22" s="4" t="s">
        <v>407</v>
      </c>
      <c r="Z22" s="4" t="s">
        <v>2859</v>
      </c>
      <c r="AA22" s="4" t="s">
        <v>2860</v>
      </c>
      <c r="AB22" s="4" t="s">
        <v>1411</v>
      </c>
      <c r="AC22" s="4" t="s">
        <v>394</v>
      </c>
      <c r="AD22" s="4" t="s">
        <v>2861</v>
      </c>
      <c r="AE22" s="4" t="s">
        <v>2862</v>
      </c>
      <c r="AF22" s="4" t="s">
        <v>197</v>
      </c>
      <c r="AG22" s="4" t="s">
        <v>664</v>
      </c>
      <c r="AH22" s="4" t="s">
        <v>2863</v>
      </c>
      <c r="AI22" s="4" t="s">
        <v>2864</v>
      </c>
      <c r="AJ22" s="4" t="s">
        <v>1695</v>
      </c>
      <c r="AK22" s="4" t="s">
        <v>946</v>
      </c>
      <c r="AL22" s="4" t="s">
        <v>2865</v>
      </c>
      <c r="AM22" s="4" t="s">
        <v>2866</v>
      </c>
      <c r="AN22" s="4" t="s">
        <v>191</v>
      </c>
      <c r="AO22" s="4" t="s">
        <v>77</v>
      </c>
      <c r="AP22" s="4" t="s">
        <v>2867</v>
      </c>
      <c r="AQ22" s="4" t="s">
        <v>2868</v>
      </c>
      <c r="AR22" s="4" t="s">
        <v>164</v>
      </c>
      <c r="AS22" s="4" t="s">
        <v>100</v>
      </c>
      <c r="AT22" s="4" t="s">
        <v>1714</v>
      </c>
      <c r="AU22" s="4" t="s">
        <v>2869</v>
      </c>
      <c r="AV22" s="4" t="s">
        <v>1322</v>
      </c>
      <c r="AW22" s="4" t="s">
        <v>158</v>
      </c>
    </row>
    <row r="23" spans="1:49" ht="57.6" x14ac:dyDescent="0.3">
      <c r="A23" s="7" t="s">
        <v>991</v>
      </c>
      <c r="B23" s="4" t="s">
        <v>2870</v>
      </c>
      <c r="C23" s="4" t="s">
        <v>2871</v>
      </c>
      <c r="D23" s="4" t="s">
        <v>2872</v>
      </c>
      <c r="E23" s="4" t="s">
        <v>1245</v>
      </c>
      <c r="F23" s="4" t="s">
        <v>2873</v>
      </c>
      <c r="G23" s="4" t="s">
        <v>2874</v>
      </c>
      <c r="H23" s="4" t="s">
        <v>2875</v>
      </c>
      <c r="I23" s="4" t="s">
        <v>1070</v>
      </c>
      <c r="J23" s="4" t="s">
        <v>2357</v>
      </c>
      <c r="K23" s="4" t="s">
        <v>2358</v>
      </c>
      <c r="L23" s="4" t="s">
        <v>2876</v>
      </c>
      <c r="M23" s="4" t="s">
        <v>2351</v>
      </c>
      <c r="N23" s="4" t="s">
        <v>2877</v>
      </c>
      <c r="O23" s="4" t="s">
        <v>2878</v>
      </c>
      <c r="P23" s="4" t="s">
        <v>1728</v>
      </c>
      <c r="Q23" s="4" t="s">
        <v>394</v>
      </c>
      <c r="R23" s="4" t="s">
        <v>2879</v>
      </c>
      <c r="S23" s="4" t="s">
        <v>2880</v>
      </c>
      <c r="T23" s="4" t="s">
        <v>2632</v>
      </c>
      <c r="U23" s="4" t="s">
        <v>107</v>
      </c>
      <c r="V23" s="4" t="s">
        <v>2361</v>
      </c>
      <c r="W23" s="4" t="s">
        <v>2362</v>
      </c>
      <c r="X23" s="4" t="s">
        <v>1308</v>
      </c>
      <c r="Y23" s="4" t="s">
        <v>1245</v>
      </c>
      <c r="Z23" s="4" t="s">
        <v>2881</v>
      </c>
      <c r="AA23" s="4" t="s">
        <v>2882</v>
      </c>
      <c r="AB23" s="4" t="s">
        <v>2883</v>
      </c>
      <c r="AC23" s="4" t="s">
        <v>1382</v>
      </c>
      <c r="AD23" s="4" t="s">
        <v>2884</v>
      </c>
      <c r="AE23" s="4" t="s">
        <v>2885</v>
      </c>
      <c r="AF23" s="4" t="s">
        <v>1190</v>
      </c>
      <c r="AG23" s="4" t="s">
        <v>1418</v>
      </c>
      <c r="AH23" s="4" t="s">
        <v>2363</v>
      </c>
      <c r="AI23" s="4" t="s">
        <v>2364</v>
      </c>
      <c r="AJ23" s="4" t="s">
        <v>1217</v>
      </c>
      <c r="AK23" s="4" t="s">
        <v>1653</v>
      </c>
      <c r="AL23" s="4" t="s">
        <v>2886</v>
      </c>
      <c r="AM23" s="4" t="s">
        <v>2887</v>
      </c>
      <c r="AN23" s="4" t="s">
        <v>1102</v>
      </c>
      <c r="AO23" s="4" t="s">
        <v>73</v>
      </c>
      <c r="AP23" s="4" t="s">
        <v>2888</v>
      </c>
      <c r="AQ23" s="4" t="s">
        <v>2889</v>
      </c>
      <c r="AR23" s="4" t="s">
        <v>420</v>
      </c>
      <c r="AS23" s="4" t="s">
        <v>185</v>
      </c>
      <c r="AT23" s="4" t="s">
        <v>2365</v>
      </c>
      <c r="AU23" s="4" t="s">
        <v>2217</v>
      </c>
      <c r="AV23" s="4" t="s">
        <v>673</v>
      </c>
      <c r="AW23" s="4" t="s">
        <v>1074</v>
      </c>
    </row>
    <row r="24" spans="1:49" ht="57.6" x14ac:dyDescent="0.3">
      <c r="A24" s="7" t="s">
        <v>1003</v>
      </c>
      <c r="B24" s="4" t="s">
        <v>2890</v>
      </c>
      <c r="C24" s="4" t="s">
        <v>2891</v>
      </c>
      <c r="D24" s="4" t="s">
        <v>695</v>
      </c>
      <c r="E24" s="4" t="s">
        <v>1144</v>
      </c>
      <c r="F24" s="4" t="s">
        <v>2892</v>
      </c>
      <c r="G24" s="4" t="s">
        <v>2893</v>
      </c>
      <c r="H24" s="4" t="s">
        <v>2188</v>
      </c>
      <c r="I24" s="4" t="s">
        <v>1070</v>
      </c>
      <c r="J24" s="4" t="s">
        <v>2367</v>
      </c>
      <c r="K24" s="4" t="s">
        <v>2368</v>
      </c>
      <c r="L24" s="4" t="s">
        <v>1395</v>
      </c>
      <c r="M24" s="4" t="s">
        <v>2228</v>
      </c>
      <c r="N24" s="4" t="s">
        <v>2894</v>
      </c>
      <c r="O24" s="4" t="s">
        <v>2895</v>
      </c>
      <c r="P24" s="4" t="s">
        <v>698</v>
      </c>
      <c r="Q24" s="4" t="s">
        <v>591</v>
      </c>
      <c r="R24" s="4" t="s">
        <v>2896</v>
      </c>
      <c r="S24" s="4" t="s">
        <v>2897</v>
      </c>
      <c r="T24" s="4" t="s">
        <v>416</v>
      </c>
      <c r="U24" s="4" t="s">
        <v>107</v>
      </c>
      <c r="V24" s="4" t="s">
        <v>2370</v>
      </c>
      <c r="W24" s="4" t="s">
        <v>2371</v>
      </c>
      <c r="X24" s="4" t="s">
        <v>2898</v>
      </c>
      <c r="Y24" s="4" t="s">
        <v>1471</v>
      </c>
      <c r="Z24" s="4" t="s">
        <v>2899</v>
      </c>
      <c r="AA24" s="4" t="s">
        <v>2900</v>
      </c>
      <c r="AB24" s="4" t="s">
        <v>2151</v>
      </c>
      <c r="AC24" s="4" t="s">
        <v>107</v>
      </c>
      <c r="AD24" s="4" t="s">
        <v>2901</v>
      </c>
      <c r="AE24" s="4" t="s">
        <v>2902</v>
      </c>
      <c r="AF24" s="4" t="s">
        <v>645</v>
      </c>
      <c r="AG24" s="4" t="s">
        <v>1074</v>
      </c>
      <c r="AH24" s="4" t="s">
        <v>2373</v>
      </c>
      <c r="AI24" s="4" t="s">
        <v>2374</v>
      </c>
      <c r="AJ24" s="4" t="s">
        <v>604</v>
      </c>
      <c r="AK24" s="4" t="s">
        <v>1144</v>
      </c>
      <c r="AL24" s="4" t="s">
        <v>2903</v>
      </c>
      <c r="AM24" s="4" t="s">
        <v>2904</v>
      </c>
      <c r="AN24" s="4" t="s">
        <v>1069</v>
      </c>
      <c r="AO24" s="4" t="s">
        <v>73</v>
      </c>
      <c r="AP24" s="4" t="s">
        <v>2905</v>
      </c>
      <c r="AQ24" s="4" t="s">
        <v>2906</v>
      </c>
      <c r="AR24" s="4" t="s">
        <v>2907</v>
      </c>
      <c r="AS24" s="4" t="s">
        <v>117</v>
      </c>
      <c r="AT24" s="4" t="s">
        <v>2375</v>
      </c>
      <c r="AU24" s="4" t="s">
        <v>2376</v>
      </c>
      <c r="AV24" s="4" t="s">
        <v>2908</v>
      </c>
      <c r="AW24" s="4" t="s">
        <v>664</v>
      </c>
    </row>
    <row r="25" spans="1:49" ht="57.6" x14ac:dyDescent="0.3">
      <c r="A25" s="7" t="s">
        <v>1014</v>
      </c>
      <c r="B25" s="4" t="s">
        <v>2909</v>
      </c>
      <c r="C25" s="4" t="s">
        <v>405</v>
      </c>
      <c r="D25" s="4" t="s">
        <v>1848</v>
      </c>
      <c r="E25" s="4" t="s">
        <v>107</v>
      </c>
      <c r="F25" s="4" t="s">
        <v>2910</v>
      </c>
      <c r="G25" s="4" t="s">
        <v>889</v>
      </c>
      <c r="H25" s="4" t="s">
        <v>923</v>
      </c>
      <c r="I25" s="4" t="s">
        <v>982</v>
      </c>
      <c r="J25" s="4" t="s">
        <v>2377</v>
      </c>
      <c r="K25" s="4" t="s">
        <v>2378</v>
      </c>
      <c r="L25" s="4" t="s">
        <v>474</v>
      </c>
      <c r="M25" s="4" t="s">
        <v>664</v>
      </c>
      <c r="N25" s="4" t="s">
        <v>2911</v>
      </c>
      <c r="O25" s="4" t="s">
        <v>2912</v>
      </c>
      <c r="P25" s="4" t="s">
        <v>2188</v>
      </c>
      <c r="Q25" s="4" t="s">
        <v>394</v>
      </c>
      <c r="R25" s="4" t="s">
        <v>2913</v>
      </c>
      <c r="S25" s="4" t="s">
        <v>2914</v>
      </c>
      <c r="T25" s="4" t="s">
        <v>1061</v>
      </c>
      <c r="U25" s="4" t="s">
        <v>591</v>
      </c>
      <c r="V25" s="4" t="s">
        <v>2379</v>
      </c>
      <c r="W25" s="4" t="s">
        <v>2380</v>
      </c>
      <c r="X25" s="4" t="s">
        <v>310</v>
      </c>
      <c r="Y25" s="4" t="s">
        <v>1507</v>
      </c>
      <c r="Z25" s="4" t="s">
        <v>2915</v>
      </c>
      <c r="AA25" s="4" t="s">
        <v>82</v>
      </c>
      <c r="AB25" s="4" t="s">
        <v>355</v>
      </c>
      <c r="AC25" s="4" t="s">
        <v>185</v>
      </c>
      <c r="AD25" s="4" t="s">
        <v>2916</v>
      </c>
      <c r="AE25" s="4" t="s">
        <v>2917</v>
      </c>
      <c r="AF25" s="4" t="s">
        <v>1533</v>
      </c>
      <c r="AG25" s="4" t="s">
        <v>107</v>
      </c>
      <c r="AH25" s="4" t="s">
        <v>2382</v>
      </c>
      <c r="AI25" s="4" t="s">
        <v>2383</v>
      </c>
      <c r="AJ25" s="4" t="s">
        <v>161</v>
      </c>
      <c r="AK25" s="4" t="s">
        <v>407</v>
      </c>
      <c r="AL25" s="4" t="s">
        <v>2918</v>
      </c>
      <c r="AM25" s="4" t="s">
        <v>2919</v>
      </c>
      <c r="AN25" s="4" t="s">
        <v>275</v>
      </c>
      <c r="AO25" s="4" t="s">
        <v>185</v>
      </c>
      <c r="AP25" s="4" t="s">
        <v>2920</v>
      </c>
      <c r="AQ25" s="4" t="s">
        <v>2921</v>
      </c>
      <c r="AR25" s="4" t="s">
        <v>891</v>
      </c>
      <c r="AS25" s="4" t="s">
        <v>73</v>
      </c>
      <c r="AT25" s="4" t="s">
        <v>2384</v>
      </c>
      <c r="AU25" s="4" t="s">
        <v>2385</v>
      </c>
      <c r="AV25" s="4" t="s">
        <v>2381</v>
      </c>
      <c r="AW25" s="4" t="s">
        <v>394</v>
      </c>
    </row>
    <row r="26" spans="1:49" ht="57.6" x14ac:dyDescent="0.3">
      <c r="A26" s="7" t="s">
        <v>1026</v>
      </c>
      <c r="B26" s="4" t="s">
        <v>374</v>
      </c>
      <c r="C26" s="4" t="s">
        <v>2922</v>
      </c>
      <c r="D26" s="4" t="s">
        <v>1620</v>
      </c>
      <c r="E26" s="4" t="s">
        <v>664</v>
      </c>
      <c r="F26" s="4" t="s">
        <v>2923</v>
      </c>
      <c r="G26" s="4" t="s">
        <v>290</v>
      </c>
      <c r="H26" s="4" t="s">
        <v>180</v>
      </c>
      <c r="I26" s="4" t="s">
        <v>1471</v>
      </c>
      <c r="J26" s="4" t="s">
        <v>2386</v>
      </c>
      <c r="K26" s="4" t="s">
        <v>2387</v>
      </c>
      <c r="L26" s="4" t="s">
        <v>797</v>
      </c>
      <c r="M26" s="4" t="s">
        <v>84</v>
      </c>
      <c r="N26" s="4" t="s">
        <v>2924</v>
      </c>
      <c r="O26" s="4" t="s">
        <v>2925</v>
      </c>
      <c r="P26" s="4" t="s">
        <v>1108</v>
      </c>
      <c r="Q26" s="4" t="s">
        <v>185</v>
      </c>
      <c r="R26" s="4" t="s">
        <v>2926</v>
      </c>
      <c r="S26" s="4" t="s">
        <v>2927</v>
      </c>
      <c r="T26" s="4" t="s">
        <v>348</v>
      </c>
      <c r="U26" s="4" t="s">
        <v>407</v>
      </c>
      <c r="V26" s="4" t="s">
        <v>2388</v>
      </c>
      <c r="W26" s="4" t="s">
        <v>2389</v>
      </c>
      <c r="X26" s="4" t="s">
        <v>2042</v>
      </c>
      <c r="Y26" s="4" t="s">
        <v>73</v>
      </c>
      <c r="Z26" s="4" t="s">
        <v>2928</v>
      </c>
      <c r="AA26" s="4" t="s">
        <v>729</v>
      </c>
      <c r="AB26" s="4" t="s">
        <v>373</v>
      </c>
      <c r="AC26" s="4" t="s">
        <v>158</v>
      </c>
      <c r="AD26" s="4" t="s">
        <v>2929</v>
      </c>
      <c r="AE26" s="4" t="s">
        <v>1388</v>
      </c>
      <c r="AF26" s="4" t="s">
        <v>235</v>
      </c>
      <c r="AG26" s="4" t="s">
        <v>117</v>
      </c>
      <c r="AH26" s="4" t="s">
        <v>2390</v>
      </c>
      <c r="AI26" s="4" t="s">
        <v>490</v>
      </c>
      <c r="AJ26" s="4" t="s">
        <v>838</v>
      </c>
      <c r="AK26" s="4" t="s">
        <v>73</v>
      </c>
      <c r="AL26" s="4" t="s">
        <v>2930</v>
      </c>
      <c r="AM26" s="4" t="s">
        <v>2931</v>
      </c>
      <c r="AN26" s="4" t="s">
        <v>457</v>
      </c>
      <c r="AO26" s="4" t="s">
        <v>77</v>
      </c>
      <c r="AP26" s="4" t="s">
        <v>2932</v>
      </c>
      <c r="AQ26" s="4" t="s">
        <v>1460</v>
      </c>
      <c r="AR26" s="4" t="s">
        <v>1608</v>
      </c>
      <c r="AS26" s="4" t="s">
        <v>109</v>
      </c>
      <c r="AT26" s="4" t="s">
        <v>2391</v>
      </c>
      <c r="AU26" s="4" t="s">
        <v>2392</v>
      </c>
      <c r="AV26" s="4" t="s">
        <v>2042</v>
      </c>
      <c r="AW26" s="4" t="s">
        <v>100</v>
      </c>
    </row>
    <row r="27" spans="1:49" ht="43.2" x14ac:dyDescent="0.3">
      <c r="A27" s="7" t="s">
        <v>1038</v>
      </c>
      <c r="B27" s="4" t="s">
        <v>2933</v>
      </c>
      <c r="C27" s="4" t="s">
        <v>1944</v>
      </c>
      <c r="D27" s="4" t="s">
        <v>2934</v>
      </c>
      <c r="E27" s="4" t="s">
        <v>407</v>
      </c>
      <c r="F27" s="4" t="s">
        <v>2935</v>
      </c>
      <c r="G27" s="4" t="s">
        <v>1974</v>
      </c>
      <c r="H27" s="4" t="s">
        <v>1517</v>
      </c>
      <c r="I27" s="4" t="s">
        <v>946</v>
      </c>
      <c r="J27" s="4" t="s">
        <v>2393</v>
      </c>
      <c r="K27" s="4" t="s">
        <v>2394</v>
      </c>
      <c r="L27" s="4" t="s">
        <v>366</v>
      </c>
      <c r="M27" s="4" t="s">
        <v>407</v>
      </c>
      <c r="N27" s="4" t="s">
        <v>2936</v>
      </c>
      <c r="O27" s="4" t="s">
        <v>2937</v>
      </c>
      <c r="P27" s="4" t="s">
        <v>191</v>
      </c>
      <c r="Q27" s="4" t="s">
        <v>158</v>
      </c>
      <c r="R27" s="4" t="s">
        <v>2938</v>
      </c>
      <c r="S27" s="4" t="s">
        <v>2939</v>
      </c>
      <c r="T27" s="4" t="s">
        <v>1017</v>
      </c>
      <c r="U27" s="4" t="s">
        <v>407</v>
      </c>
      <c r="V27" s="4" t="s">
        <v>2395</v>
      </c>
      <c r="W27" s="4" t="s">
        <v>2396</v>
      </c>
      <c r="X27" s="4" t="s">
        <v>253</v>
      </c>
      <c r="Y27" s="4" t="s">
        <v>109</v>
      </c>
      <c r="Z27" s="4" t="s">
        <v>2940</v>
      </c>
      <c r="AA27" s="4" t="s">
        <v>2941</v>
      </c>
      <c r="AB27" s="4" t="s">
        <v>161</v>
      </c>
      <c r="AC27" s="4" t="s">
        <v>158</v>
      </c>
      <c r="AD27" s="4" t="s">
        <v>2942</v>
      </c>
      <c r="AE27" s="4" t="s">
        <v>2741</v>
      </c>
      <c r="AF27" s="4" t="s">
        <v>654</v>
      </c>
      <c r="AG27" s="4" t="s">
        <v>107</v>
      </c>
      <c r="AH27" s="4" t="s">
        <v>2397</v>
      </c>
      <c r="AI27" s="4" t="s">
        <v>1992</v>
      </c>
      <c r="AJ27" s="4" t="s">
        <v>240</v>
      </c>
      <c r="AK27" s="4" t="s">
        <v>109</v>
      </c>
      <c r="AL27" s="4" t="s">
        <v>2943</v>
      </c>
      <c r="AM27" s="4" t="s">
        <v>2944</v>
      </c>
      <c r="AN27" s="4" t="s">
        <v>445</v>
      </c>
      <c r="AO27" s="4" t="s">
        <v>77</v>
      </c>
      <c r="AP27" s="4" t="s">
        <v>2945</v>
      </c>
      <c r="AQ27" s="4" t="s">
        <v>2946</v>
      </c>
      <c r="AR27" s="4" t="s">
        <v>1695</v>
      </c>
      <c r="AS27" s="4" t="s">
        <v>109</v>
      </c>
      <c r="AT27" s="4" t="s">
        <v>2398</v>
      </c>
      <c r="AU27" s="4" t="s">
        <v>2399</v>
      </c>
      <c r="AV27" s="4" t="s">
        <v>219</v>
      </c>
      <c r="AW27" s="4" t="s">
        <v>100</v>
      </c>
    </row>
    <row r="28" spans="1:49" ht="43.2" x14ac:dyDescent="0.3">
      <c r="A28" s="7" t="s">
        <v>2947</v>
      </c>
      <c r="B28" s="4" t="s">
        <v>2407</v>
      </c>
      <c r="C28" s="4" t="s">
        <v>1407</v>
      </c>
      <c r="D28" s="4" t="s">
        <v>818</v>
      </c>
      <c r="E28" s="4" t="s">
        <v>100</v>
      </c>
      <c r="F28" s="4" t="s">
        <v>62</v>
      </c>
      <c r="G28" s="4" t="s">
        <v>62</v>
      </c>
      <c r="H28" s="4" t="s">
        <v>62</v>
      </c>
      <c r="I28" s="4" t="s">
        <v>62</v>
      </c>
      <c r="J28" s="4" t="s">
        <v>2407</v>
      </c>
      <c r="K28" s="4" t="s">
        <v>1407</v>
      </c>
      <c r="L28" s="4" t="s">
        <v>743</v>
      </c>
      <c r="M28" s="4" t="s">
        <v>394</v>
      </c>
      <c r="N28" s="4" t="s">
        <v>2408</v>
      </c>
      <c r="O28" s="4" t="s">
        <v>2409</v>
      </c>
      <c r="P28" s="4" t="s">
        <v>818</v>
      </c>
      <c r="Q28" s="4" t="s">
        <v>84</v>
      </c>
      <c r="R28" s="4" t="s">
        <v>62</v>
      </c>
      <c r="S28" s="4" t="s">
        <v>62</v>
      </c>
      <c r="T28" s="4" t="s">
        <v>62</v>
      </c>
      <c r="U28" s="4" t="s">
        <v>62</v>
      </c>
      <c r="V28" s="4" t="s">
        <v>2408</v>
      </c>
      <c r="W28" s="4" t="s">
        <v>2409</v>
      </c>
      <c r="X28" s="4" t="s">
        <v>219</v>
      </c>
      <c r="Y28" s="4" t="s">
        <v>158</v>
      </c>
      <c r="Z28" s="4" t="s">
        <v>2410</v>
      </c>
      <c r="AA28" s="4" t="s">
        <v>2411</v>
      </c>
      <c r="AB28" s="4" t="s">
        <v>152</v>
      </c>
      <c r="AC28" s="4" t="s">
        <v>109</v>
      </c>
      <c r="AD28" s="4" t="s">
        <v>62</v>
      </c>
      <c r="AE28" s="4" t="s">
        <v>62</v>
      </c>
      <c r="AF28" s="4" t="s">
        <v>62</v>
      </c>
      <c r="AG28" s="4" t="s">
        <v>62</v>
      </c>
      <c r="AH28" s="4" t="s">
        <v>2410</v>
      </c>
      <c r="AI28" s="4" t="s">
        <v>2411</v>
      </c>
      <c r="AJ28" s="4" t="s">
        <v>235</v>
      </c>
      <c r="AK28" s="4" t="s">
        <v>617</v>
      </c>
      <c r="AL28" s="4" t="s">
        <v>2412</v>
      </c>
      <c r="AM28" s="4" t="s">
        <v>2413</v>
      </c>
      <c r="AN28" s="4" t="s">
        <v>818</v>
      </c>
      <c r="AO28" s="4" t="s">
        <v>84</v>
      </c>
      <c r="AP28" s="4" t="s">
        <v>62</v>
      </c>
      <c r="AQ28" s="4" t="s">
        <v>62</v>
      </c>
      <c r="AR28" s="4" t="s">
        <v>62</v>
      </c>
      <c r="AS28" s="4" t="s">
        <v>62</v>
      </c>
      <c r="AT28" s="4" t="s">
        <v>2412</v>
      </c>
      <c r="AU28" s="4" t="s">
        <v>2413</v>
      </c>
      <c r="AV28" s="4" t="s">
        <v>144</v>
      </c>
      <c r="AW28" s="4" t="s">
        <v>109</v>
      </c>
    </row>
    <row r="29" spans="1:49" ht="57.6" x14ac:dyDescent="0.3">
      <c r="A29" s="7" t="s">
        <v>933</v>
      </c>
      <c r="B29" s="4" t="s">
        <v>2948</v>
      </c>
      <c r="C29" s="4" t="s">
        <v>2194</v>
      </c>
      <c r="D29" s="4" t="s">
        <v>2948</v>
      </c>
      <c r="E29" s="4" t="s">
        <v>2194</v>
      </c>
      <c r="F29" s="4" t="s">
        <v>974</v>
      </c>
      <c r="G29" s="4" t="s">
        <v>2949</v>
      </c>
      <c r="H29" s="4" t="s">
        <v>974</v>
      </c>
      <c r="I29" s="4" t="s">
        <v>2949</v>
      </c>
      <c r="J29" s="4" t="s">
        <v>2400</v>
      </c>
      <c r="K29" s="4" t="s">
        <v>2401</v>
      </c>
      <c r="L29" s="4" t="s">
        <v>2400</v>
      </c>
      <c r="M29" s="4" t="s">
        <v>2401</v>
      </c>
      <c r="N29" s="4" t="s">
        <v>2950</v>
      </c>
      <c r="O29" s="4" t="s">
        <v>2951</v>
      </c>
      <c r="P29" s="4" t="s">
        <v>2950</v>
      </c>
      <c r="Q29" s="4" t="s">
        <v>2951</v>
      </c>
      <c r="R29" s="4" t="s">
        <v>2952</v>
      </c>
      <c r="S29" s="4" t="s">
        <v>2953</v>
      </c>
      <c r="T29" s="4" t="s">
        <v>2952</v>
      </c>
      <c r="U29" s="4" t="s">
        <v>2953</v>
      </c>
      <c r="V29" s="4" t="s">
        <v>2402</v>
      </c>
      <c r="W29" s="4" t="s">
        <v>2403</v>
      </c>
      <c r="X29" s="4" t="s">
        <v>2402</v>
      </c>
      <c r="Y29" s="4" t="s">
        <v>2403</v>
      </c>
      <c r="Z29" s="4" t="s">
        <v>1354</v>
      </c>
      <c r="AA29" s="4" t="s">
        <v>2406</v>
      </c>
      <c r="AB29" s="4" t="s">
        <v>1354</v>
      </c>
      <c r="AC29" s="4" t="s">
        <v>2406</v>
      </c>
      <c r="AD29" s="4" t="s">
        <v>2954</v>
      </c>
      <c r="AE29" s="4" t="s">
        <v>2955</v>
      </c>
      <c r="AF29" s="4" t="s">
        <v>2954</v>
      </c>
      <c r="AG29" s="4" t="s">
        <v>2955</v>
      </c>
      <c r="AH29" s="4" t="s">
        <v>2404</v>
      </c>
      <c r="AI29" s="4" t="s">
        <v>2405</v>
      </c>
      <c r="AJ29" s="4" t="s">
        <v>2404</v>
      </c>
      <c r="AK29" s="4" t="s">
        <v>2405</v>
      </c>
      <c r="AL29" s="4" t="s">
        <v>2956</v>
      </c>
      <c r="AM29" s="4" t="s">
        <v>2957</v>
      </c>
      <c r="AN29" s="4" t="s">
        <v>2956</v>
      </c>
      <c r="AO29" s="4" t="s">
        <v>2957</v>
      </c>
      <c r="AP29" s="4" t="s">
        <v>2259</v>
      </c>
      <c r="AQ29" s="4" t="s">
        <v>2958</v>
      </c>
      <c r="AR29" s="4" t="s">
        <v>2259</v>
      </c>
      <c r="AS29" s="4" t="s">
        <v>2958</v>
      </c>
      <c r="AT29" s="4" t="s">
        <v>1234</v>
      </c>
      <c r="AU29" s="4" t="s">
        <v>2406</v>
      </c>
      <c r="AV29" s="4" t="s">
        <v>1234</v>
      </c>
      <c r="AW29" s="4" t="s">
        <v>2406</v>
      </c>
    </row>
    <row r="30" spans="1:49" ht="244.8" x14ac:dyDescent="0.3">
      <c r="A30" s="6" t="s">
        <v>2959</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row>
    <row r="31" spans="1:49" ht="57.6" x14ac:dyDescent="0.3">
      <c r="A31" s="7" t="s">
        <v>2960</v>
      </c>
      <c r="B31" s="4" t="s">
        <v>2961</v>
      </c>
      <c r="C31" s="4" t="s">
        <v>2962</v>
      </c>
      <c r="D31" s="4" t="s">
        <v>331</v>
      </c>
      <c r="E31" s="4" t="s">
        <v>1058</v>
      </c>
      <c r="F31" s="4" t="s">
        <v>2963</v>
      </c>
      <c r="G31" s="4" t="s">
        <v>2964</v>
      </c>
      <c r="H31" s="4" t="s">
        <v>1522</v>
      </c>
      <c r="I31" s="4" t="s">
        <v>1144</v>
      </c>
      <c r="J31" s="4" t="s">
        <v>2965</v>
      </c>
      <c r="K31" s="4" t="s">
        <v>2966</v>
      </c>
      <c r="L31" s="4" t="s">
        <v>645</v>
      </c>
      <c r="M31" s="4" t="s">
        <v>2084</v>
      </c>
      <c r="N31" s="4" t="s">
        <v>2967</v>
      </c>
      <c r="O31" s="4" t="s">
        <v>2968</v>
      </c>
      <c r="P31" s="4" t="s">
        <v>1017</v>
      </c>
      <c r="Q31" s="4" t="s">
        <v>73</v>
      </c>
      <c r="R31" s="4" t="s">
        <v>2969</v>
      </c>
      <c r="S31" s="4" t="s">
        <v>2970</v>
      </c>
      <c r="T31" s="4" t="s">
        <v>180</v>
      </c>
      <c r="U31" s="4" t="s">
        <v>73</v>
      </c>
      <c r="V31" s="4" t="s">
        <v>2971</v>
      </c>
      <c r="W31" s="4" t="s">
        <v>2972</v>
      </c>
      <c r="X31" s="4" t="s">
        <v>316</v>
      </c>
      <c r="Y31" s="4" t="s">
        <v>946</v>
      </c>
      <c r="Z31" s="4" t="s">
        <v>2973</v>
      </c>
      <c r="AA31" s="4" t="s">
        <v>2974</v>
      </c>
      <c r="AB31" s="4" t="s">
        <v>2151</v>
      </c>
      <c r="AC31" s="4" t="s">
        <v>107</v>
      </c>
      <c r="AD31" s="4" t="s">
        <v>2975</v>
      </c>
      <c r="AE31" s="4" t="s">
        <v>2976</v>
      </c>
      <c r="AF31" s="4" t="s">
        <v>319</v>
      </c>
      <c r="AG31" s="4" t="s">
        <v>1382</v>
      </c>
      <c r="AH31" s="4" t="s">
        <v>2977</v>
      </c>
      <c r="AI31" s="4" t="s">
        <v>2978</v>
      </c>
      <c r="AJ31" s="4" t="s">
        <v>422</v>
      </c>
      <c r="AK31" s="4" t="s">
        <v>1572</v>
      </c>
      <c r="AL31" s="4" t="s">
        <v>2979</v>
      </c>
      <c r="AM31" s="4" t="s">
        <v>2980</v>
      </c>
      <c r="AN31" s="4" t="s">
        <v>1041</v>
      </c>
      <c r="AO31" s="4" t="s">
        <v>77</v>
      </c>
      <c r="AP31" s="4" t="s">
        <v>2981</v>
      </c>
      <c r="AQ31" s="4" t="s">
        <v>2982</v>
      </c>
      <c r="AR31" s="4" t="s">
        <v>1979</v>
      </c>
      <c r="AS31" s="4" t="s">
        <v>77</v>
      </c>
      <c r="AT31" s="4" t="s">
        <v>2983</v>
      </c>
      <c r="AU31" s="4" t="s">
        <v>2984</v>
      </c>
      <c r="AV31" s="4" t="s">
        <v>695</v>
      </c>
      <c r="AW31" s="4" t="s">
        <v>617</v>
      </c>
    </row>
    <row r="32" spans="1:49" ht="72" x14ac:dyDescent="0.3">
      <c r="A32" s="25" t="s">
        <v>2985</v>
      </c>
      <c r="B32" s="4" t="s">
        <v>2986</v>
      </c>
      <c r="C32" s="4" t="s">
        <v>926</v>
      </c>
      <c r="D32" s="4" t="s">
        <v>223</v>
      </c>
      <c r="E32" s="4" t="s">
        <v>103</v>
      </c>
      <c r="F32" s="4" t="s">
        <v>2987</v>
      </c>
      <c r="G32" s="4" t="s">
        <v>2988</v>
      </c>
      <c r="H32" s="4" t="s">
        <v>756</v>
      </c>
      <c r="I32" s="4" t="s">
        <v>84</v>
      </c>
      <c r="J32" s="4" t="s">
        <v>2989</v>
      </c>
      <c r="K32" s="4" t="s">
        <v>2401</v>
      </c>
      <c r="L32" s="4" t="s">
        <v>223</v>
      </c>
      <c r="M32" s="4" t="s">
        <v>153</v>
      </c>
      <c r="N32" s="4" t="s">
        <v>2990</v>
      </c>
      <c r="O32" s="4" t="s">
        <v>2991</v>
      </c>
      <c r="P32" s="4" t="s">
        <v>738</v>
      </c>
      <c r="Q32" s="4" t="s">
        <v>153</v>
      </c>
      <c r="R32" s="4" t="s">
        <v>2992</v>
      </c>
      <c r="S32" s="4" t="s">
        <v>2993</v>
      </c>
      <c r="T32" s="4" t="s">
        <v>797</v>
      </c>
      <c r="U32" s="4" t="s">
        <v>103</v>
      </c>
      <c r="V32" s="4" t="s">
        <v>2994</v>
      </c>
      <c r="W32" s="4" t="s">
        <v>1195</v>
      </c>
      <c r="X32" s="4" t="s">
        <v>223</v>
      </c>
      <c r="Y32" s="4" t="s">
        <v>103</v>
      </c>
      <c r="Z32" s="4" t="s">
        <v>2995</v>
      </c>
      <c r="AA32" s="4" t="s">
        <v>2996</v>
      </c>
      <c r="AB32" s="4" t="s">
        <v>756</v>
      </c>
      <c r="AC32" s="4" t="s">
        <v>103</v>
      </c>
      <c r="AD32" s="4" t="s">
        <v>2997</v>
      </c>
      <c r="AE32" s="4" t="s">
        <v>2998</v>
      </c>
      <c r="AF32" s="4" t="s">
        <v>797</v>
      </c>
      <c r="AG32" s="4" t="s">
        <v>84</v>
      </c>
      <c r="AH32" s="4" t="s">
        <v>2999</v>
      </c>
      <c r="AI32" s="4" t="s">
        <v>3000</v>
      </c>
      <c r="AJ32" s="4" t="s">
        <v>223</v>
      </c>
      <c r="AK32" s="4" t="s">
        <v>103</v>
      </c>
      <c r="AL32" s="4" t="s">
        <v>3001</v>
      </c>
      <c r="AM32" s="4" t="s">
        <v>3002</v>
      </c>
      <c r="AN32" s="4" t="s">
        <v>756</v>
      </c>
      <c r="AO32" s="4" t="s">
        <v>153</v>
      </c>
      <c r="AP32" s="4" t="s">
        <v>3003</v>
      </c>
      <c r="AQ32" s="4" t="s">
        <v>3004</v>
      </c>
      <c r="AR32" s="4" t="s">
        <v>223</v>
      </c>
      <c r="AS32" s="4" t="s">
        <v>153</v>
      </c>
      <c r="AT32" s="4" t="s">
        <v>3005</v>
      </c>
      <c r="AU32" s="4" t="s">
        <v>3006</v>
      </c>
      <c r="AV32" s="4" t="s">
        <v>738</v>
      </c>
      <c r="AW32" s="4" t="s">
        <v>103</v>
      </c>
    </row>
    <row r="33" spans="1:49" ht="72" x14ac:dyDescent="0.3">
      <c r="A33" s="25" t="s">
        <v>3007</v>
      </c>
      <c r="B33" s="4" t="s">
        <v>2518</v>
      </c>
      <c r="C33" s="4" t="s">
        <v>3008</v>
      </c>
      <c r="D33" s="4" t="s">
        <v>718</v>
      </c>
      <c r="E33" s="4" t="s">
        <v>100</v>
      </c>
      <c r="F33" s="4" t="s">
        <v>3009</v>
      </c>
      <c r="G33" s="4" t="s">
        <v>3010</v>
      </c>
      <c r="H33" s="4" t="s">
        <v>756</v>
      </c>
      <c r="I33" s="4" t="s">
        <v>103</v>
      </c>
      <c r="J33" s="4" t="s">
        <v>3011</v>
      </c>
      <c r="K33" s="4" t="s">
        <v>3012</v>
      </c>
      <c r="L33" s="4" t="s">
        <v>131</v>
      </c>
      <c r="M33" s="4" t="s">
        <v>407</v>
      </c>
      <c r="N33" s="4" t="s">
        <v>3013</v>
      </c>
      <c r="O33" s="4" t="s">
        <v>3014</v>
      </c>
      <c r="P33" s="4" t="s">
        <v>1903</v>
      </c>
      <c r="Q33" s="4" t="s">
        <v>84</v>
      </c>
      <c r="R33" s="4" t="s">
        <v>3015</v>
      </c>
      <c r="S33" s="4" t="s">
        <v>3016</v>
      </c>
      <c r="T33" s="4" t="s">
        <v>738</v>
      </c>
      <c r="U33" s="4" t="s">
        <v>103</v>
      </c>
      <c r="V33" s="4" t="s">
        <v>3017</v>
      </c>
      <c r="W33" s="4" t="s">
        <v>3018</v>
      </c>
      <c r="X33" s="4" t="s">
        <v>210</v>
      </c>
      <c r="Y33" s="4" t="s">
        <v>100</v>
      </c>
      <c r="Z33" s="4" t="s">
        <v>3019</v>
      </c>
      <c r="AA33" s="4" t="s">
        <v>3020</v>
      </c>
      <c r="AB33" s="4" t="s">
        <v>718</v>
      </c>
      <c r="AC33" s="4" t="s">
        <v>127</v>
      </c>
      <c r="AD33" s="4" t="s">
        <v>3021</v>
      </c>
      <c r="AE33" s="4" t="s">
        <v>1255</v>
      </c>
      <c r="AF33" s="4" t="s">
        <v>763</v>
      </c>
      <c r="AG33" s="4" t="s">
        <v>84</v>
      </c>
      <c r="AH33" s="4" t="s">
        <v>3022</v>
      </c>
      <c r="AI33" s="4" t="s">
        <v>3023</v>
      </c>
      <c r="AJ33" s="4" t="s">
        <v>216</v>
      </c>
      <c r="AK33" s="4" t="s">
        <v>100</v>
      </c>
      <c r="AL33" s="4" t="s">
        <v>3024</v>
      </c>
      <c r="AM33" s="4" t="s">
        <v>1929</v>
      </c>
      <c r="AN33" s="4" t="s">
        <v>803</v>
      </c>
      <c r="AO33" s="4" t="s">
        <v>103</v>
      </c>
      <c r="AP33" s="4" t="s">
        <v>3025</v>
      </c>
      <c r="AQ33" s="4" t="s">
        <v>528</v>
      </c>
      <c r="AR33" s="4" t="s">
        <v>756</v>
      </c>
      <c r="AS33" s="4" t="s">
        <v>153</v>
      </c>
      <c r="AT33" s="4" t="s">
        <v>3026</v>
      </c>
      <c r="AU33" s="4" t="s">
        <v>3027</v>
      </c>
      <c r="AV33" s="4" t="s">
        <v>253</v>
      </c>
      <c r="AW33" s="4" t="s">
        <v>127</v>
      </c>
    </row>
    <row r="34" spans="1:49" ht="86.4" x14ac:dyDescent="0.3">
      <c r="A34" s="25" t="s">
        <v>3028</v>
      </c>
      <c r="B34" s="4" t="s">
        <v>3029</v>
      </c>
      <c r="C34" s="4" t="s">
        <v>3030</v>
      </c>
      <c r="D34" s="4" t="s">
        <v>3031</v>
      </c>
      <c r="E34" s="4" t="s">
        <v>1058</v>
      </c>
      <c r="F34" s="4" t="s">
        <v>3032</v>
      </c>
      <c r="G34" s="4" t="s">
        <v>3033</v>
      </c>
      <c r="H34" s="4" t="s">
        <v>442</v>
      </c>
      <c r="I34" s="4" t="s">
        <v>1144</v>
      </c>
      <c r="J34" s="4" t="s">
        <v>3034</v>
      </c>
      <c r="K34" s="4" t="s">
        <v>3035</v>
      </c>
      <c r="L34" s="4" t="s">
        <v>91</v>
      </c>
      <c r="M34" s="4" t="s">
        <v>2215</v>
      </c>
      <c r="N34" s="4" t="s">
        <v>3036</v>
      </c>
      <c r="O34" s="4" t="s">
        <v>3037</v>
      </c>
      <c r="P34" s="4" t="s">
        <v>383</v>
      </c>
      <c r="Q34" s="4" t="s">
        <v>73</v>
      </c>
      <c r="R34" s="4" t="s">
        <v>3038</v>
      </c>
      <c r="S34" s="4" t="s">
        <v>3039</v>
      </c>
      <c r="T34" s="4" t="s">
        <v>191</v>
      </c>
      <c r="U34" s="4" t="s">
        <v>73</v>
      </c>
      <c r="V34" s="4" t="s">
        <v>3040</v>
      </c>
      <c r="W34" s="4" t="s">
        <v>3041</v>
      </c>
      <c r="X34" s="4" t="s">
        <v>858</v>
      </c>
      <c r="Y34" s="4" t="s">
        <v>946</v>
      </c>
      <c r="Z34" s="4" t="s">
        <v>3042</v>
      </c>
      <c r="AA34" s="4" t="s">
        <v>3041</v>
      </c>
      <c r="AB34" s="4" t="s">
        <v>281</v>
      </c>
      <c r="AC34" s="4" t="s">
        <v>394</v>
      </c>
      <c r="AD34" s="4" t="s">
        <v>3043</v>
      </c>
      <c r="AE34" s="4" t="s">
        <v>3044</v>
      </c>
      <c r="AF34" s="4" t="s">
        <v>3045</v>
      </c>
      <c r="AG34" s="4" t="s">
        <v>1074</v>
      </c>
      <c r="AH34" s="4" t="s">
        <v>3046</v>
      </c>
      <c r="AI34" s="4" t="s">
        <v>3047</v>
      </c>
      <c r="AJ34" s="4" t="s">
        <v>2165</v>
      </c>
      <c r="AK34" s="4" t="s">
        <v>1507</v>
      </c>
      <c r="AL34" s="4" t="s">
        <v>3048</v>
      </c>
      <c r="AM34" s="4" t="s">
        <v>3049</v>
      </c>
      <c r="AN34" s="4" t="s">
        <v>1022</v>
      </c>
      <c r="AO34" s="4" t="s">
        <v>77</v>
      </c>
      <c r="AP34" s="4" t="s">
        <v>3050</v>
      </c>
      <c r="AQ34" s="4" t="s">
        <v>96</v>
      </c>
      <c r="AR34" s="4" t="s">
        <v>344</v>
      </c>
      <c r="AS34" s="4" t="s">
        <v>77</v>
      </c>
      <c r="AT34" s="4" t="s">
        <v>3051</v>
      </c>
      <c r="AU34" s="4" t="s">
        <v>3052</v>
      </c>
      <c r="AV34" s="4" t="s">
        <v>1695</v>
      </c>
      <c r="AW34" s="4" t="s">
        <v>617</v>
      </c>
    </row>
    <row r="35" spans="1:49" ht="57.6" x14ac:dyDescent="0.3">
      <c r="A35" s="7" t="s">
        <v>3053</v>
      </c>
      <c r="B35" s="4" t="s">
        <v>3054</v>
      </c>
      <c r="C35" s="4" t="s">
        <v>3055</v>
      </c>
      <c r="D35" s="4" t="s">
        <v>645</v>
      </c>
      <c r="E35" s="4" t="s">
        <v>1471</v>
      </c>
      <c r="F35" s="4" t="s">
        <v>3056</v>
      </c>
      <c r="G35" s="4" t="s">
        <v>2553</v>
      </c>
      <c r="H35" s="4" t="s">
        <v>442</v>
      </c>
      <c r="I35" s="4" t="s">
        <v>1507</v>
      </c>
      <c r="J35" s="4" t="s">
        <v>3057</v>
      </c>
      <c r="K35" s="4" t="s">
        <v>482</v>
      </c>
      <c r="L35" s="4" t="s">
        <v>2089</v>
      </c>
      <c r="M35" s="4" t="s">
        <v>2633</v>
      </c>
      <c r="N35" s="4" t="s">
        <v>3058</v>
      </c>
      <c r="O35" s="4" t="s">
        <v>2464</v>
      </c>
      <c r="P35" s="4" t="s">
        <v>629</v>
      </c>
      <c r="Q35" s="4" t="s">
        <v>73</v>
      </c>
      <c r="R35" s="4" t="s">
        <v>3059</v>
      </c>
      <c r="S35" s="4" t="s">
        <v>2109</v>
      </c>
      <c r="T35" s="4" t="s">
        <v>457</v>
      </c>
      <c r="U35" s="4" t="s">
        <v>158</v>
      </c>
      <c r="V35" s="4" t="s">
        <v>3060</v>
      </c>
      <c r="W35" s="4" t="s">
        <v>3061</v>
      </c>
      <c r="X35" s="4" t="s">
        <v>439</v>
      </c>
      <c r="Y35" s="4" t="s">
        <v>982</v>
      </c>
      <c r="Z35" s="4" t="s">
        <v>3062</v>
      </c>
      <c r="AA35" s="4" t="s">
        <v>3063</v>
      </c>
      <c r="AB35" s="4" t="s">
        <v>2188</v>
      </c>
      <c r="AC35" s="4" t="s">
        <v>407</v>
      </c>
      <c r="AD35" s="4" t="s">
        <v>3064</v>
      </c>
      <c r="AE35" s="4" t="s">
        <v>3065</v>
      </c>
      <c r="AF35" s="4" t="s">
        <v>1017</v>
      </c>
      <c r="AG35" s="4" t="s">
        <v>591</v>
      </c>
      <c r="AH35" s="4" t="s">
        <v>3066</v>
      </c>
      <c r="AI35" s="4" t="s">
        <v>3067</v>
      </c>
      <c r="AJ35" s="4" t="s">
        <v>1224</v>
      </c>
      <c r="AK35" s="4" t="s">
        <v>982</v>
      </c>
      <c r="AL35" s="4" t="s">
        <v>3068</v>
      </c>
      <c r="AM35" s="4" t="s">
        <v>2362</v>
      </c>
      <c r="AN35" s="4" t="s">
        <v>97</v>
      </c>
      <c r="AO35" s="4" t="s">
        <v>109</v>
      </c>
      <c r="AP35" s="4" t="s">
        <v>3069</v>
      </c>
      <c r="AQ35" s="4" t="s">
        <v>3070</v>
      </c>
      <c r="AR35" s="4" t="s">
        <v>389</v>
      </c>
      <c r="AS35" s="4" t="s">
        <v>100</v>
      </c>
      <c r="AT35" s="4" t="s">
        <v>3071</v>
      </c>
      <c r="AU35" s="4" t="s">
        <v>3072</v>
      </c>
      <c r="AV35" s="4" t="s">
        <v>1990</v>
      </c>
      <c r="AW35" s="4" t="s">
        <v>107</v>
      </c>
    </row>
    <row r="36" spans="1:49" ht="72" x14ac:dyDescent="0.3">
      <c r="A36" s="25" t="s">
        <v>2985</v>
      </c>
      <c r="B36" s="4" t="s">
        <v>3073</v>
      </c>
      <c r="C36" s="4" t="s">
        <v>3074</v>
      </c>
      <c r="D36" s="4" t="s">
        <v>818</v>
      </c>
      <c r="E36" s="4" t="s">
        <v>100</v>
      </c>
      <c r="F36" s="4" t="s">
        <v>3073</v>
      </c>
      <c r="G36" s="4" t="s">
        <v>3074</v>
      </c>
      <c r="H36" s="4" t="s">
        <v>474</v>
      </c>
      <c r="I36" s="4" t="s">
        <v>617</v>
      </c>
      <c r="J36" s="4" t="s">
        <v>745</v>
      </c>
      <c r="K36" s="4" t="s">
        <v>1542</v>
      </c>
      <c r="L36" s="4" t="s">
        <v>226</v>
      </c>
      <c r="M36" s="4" t="s">
        <v>77</v>
      </c>
      <c r="N36" s="4" t="s">
        <v>3075</v>
      </c>
      <c r="O36" s="4" t="s">
        <v>1847</v>
      </c>
      <c r="P36" s="4" t="s">
        <v>818</v>
      </c>
      <c r="Q36" s="4" t="s">
        <v>84</v>
      </c>
      <c r="R36" s="4" t="s">
        <v>3076</v>
      </c>
      <c r="S36" s="4" t="s">
        <v>958</v>
      </c>
      <c r="T36" s="4" t="s">
        <v>363</v>
      </c>
      <c r="U36" s="4" t="s">
        <v>127</v>
      </c>
      <c r="V36" s="4" t="s">
        <v>3077</v>
      </c>
      <c r="W36" s="4" t="s">
        <v>3078</v>
      </c>
      <c r="X36" s="4" t="s">
        <v>797</v>
      </c>
      <c r="Y36" s="4" t="s">
        <v>103</v>
      </c>
      <c r="Z36" s="4" t="s">
        <v>3079</v>
      </c>
      <c r="AA36" s="4" t="s">
        <v>3080</v>
      </c>
      <c r="AB36" s="4" t="s">
        <v>210</v>
      </c>
      <c r="AC36" s="4" t="s">
        <v>127</v>
      </c>
      <c r="AD36" s="4" t="s">
        <v>3081</v>
      </c>
      <c r="AE36" s="4" t="s">
        <v>3082</v>
      </c>
      <c r="AF36" s="4" t="s">
        <v>474</v>
      </c>
      <c r="AG36" s="4" t="s">
        <v>158</v>
      </c>
      <c r="AH36" s="4" t="s">
        <v>3083</v>
      </c>
      <c r="AI36" s="4" t="s">
        <v>3084</v>
      </c>
      <c r="AJ36" s="4" t="s">
        <v>1903</v>
      </c>
      <c r="AK36" s="4" t="s">
        <v>77</v>
      </c>
      <c r="AL36" s="4" t="s">
        <v>3085</v>
      </c>
      <c r="AM36" s="4" t="s">
        <v>3086</v>
      </c>
      <c r="AN36" s="4" t="s">
        <v>782</v>
      </c>
      <c r="AO36" s="4" t="s">
        <v>103</v>
      </c>
      <c r="AP36" s="4" t="s">
        <v>3087</v>
      </c>
      <c r="AQ36" s="4" t="s">
        <v>1410</v>
      </c>
      <c r="AR36" s="4" t="s">
        <v>818</v>
      </c>
      <c r="AS36" s="4" t="s">
        <v>84</v>
      </c>
      <c r="AT36" s="4" t="s">
        <v>3088</v>
      </c>
      <c r="AU36" s="4" t="s">
        <v>1535</v>
      </c>
      <c r="AV36" s="4" t="s">
        <v>803</v>
      </c>
      <c r="AW36" s="4" t="s">
        <v>84</v>
      </c>
    </row>
    <row r="37" spans="1:49" ht="72" x14ac:dyDescent="0.3">
      <c r="A37" s="25" t="s">
        <v>3007</v>
      </c>
      <c r="B37" s="4" t="s">
        <v>3089</v>
      </c>
      <c r="C37" s="4" t="s">
        <v>3090</v>
      </c>
      <c r="D37" s="4" t="s">
        <v>216</v>
      </c>
      <c r="E37" s="4" t="s">
        <v>185</v>
      </c>
      <c r="F37" s="4" t="s">
        <v>3091</v>
      </c>
      <c r="G37" s="4" t="s">
        <v>3092</v>
      </c>
      <c r="H37" s="4" t="s">
        <v>814</v>
      </c>
      <c r="I37" s="4" t="s">
        <v>664</v>
      </c>
      <c r="J37" s="4" t="s">
        <v>3093</v>
      </c>
      <c r="K37" s="4" t="s">
        <v>3094</v>
      </c>
      <c r="L37" s="4" t="s">
        <v>797</v>
      </c>
      <c r="M37" s="4" t="s">
        <v>127</v>
      </c>
      <c r="N37" s="4" t="s">
        <v>2963</v>
      </c>
      <c r="O37" s="4" t="s">
        <v>3095</v>
      </c>
      <c r="P37" s="4" t="s">
        <v>718</v>
      </c>
      <c r="Q37" s="4" t="s">
        <v>103</v>
      </c>
      <c r="R37" s="4" t="s">
        <v>3096</v>
      </c>
      <c r="S37" s="4" t="s">
        <v>3092</v>
      </c>
      <c r="T37" s="4" t="s">
        <v>818</v>
      </c>
      <c r="U37" s="4" t="s">
        <v>84</v>
      </c>
      <c r="V37" s="4" t="s">
        <v>3097</v>
      </c>
      <c r="W37" s="4" t="s">
        <v>3098</v>
      </c>
      <c r="X37" s="4" t="s">
        <v>763</v>
      </c>
      <c r="Y37" s="4" t="s">
        <v>84</v>
      </c>
      <c r="Z37" s="4" t="s">
        <v>3099</v>
      </c>
      <c r="AA37" s="4" t="s">
        <v>3100</v>
      </c>
      <c r="AB37" s="4" t="s">
        <v>811</v>
      </c>
      <c r="AC37" s="4" t="s">
        <v>100</v>
      </c>
      <c r="AD37" s="4" t="s">
        <v>3101</v>
      </c>
      <c r="AE37" s="4" t="s">
        <v>3102</v>
      </c>
      <c r="AF37" s="4" t="s">
        <v>219</v>
      </c>
      <c r="AG37" s="4" t="s">
        <v>73</v>
      </c>
      <c r="AH37" s="4" t="s">
        <v>3103</v>
      </c>
      <c r="AI37" s="4" t="s">
        <v>3104</v>
      </c>
      <c r="AJ37" s="4" t="s">
        <v>818</v>
      </c>
      <c r="AK37" s="4" t="s">
        <v>100</v>
      </c>
      <c r="AL37" s="4" t="s">
        <v>3105</v>
      </c>
      <c r="AM37" s="4" t="s">
        <v>3106</v>
      </c>
      <c r="AN37" s="4" t="s">
        <v>216</v>
      </c>
      <c r="AO37" s="4" t="s">
        <v>103</v>
      </c>
      <c r="AP37" s="4" t="s">
        <v>3107</v>
      </c>
      <c r="AQ37" s="4" t="s">
        <v>3108</v>
      </c>
      <c r="AR37" s="4" t="s">
        <v>253</v>
      </c>
      <c r="AS37" s="4" t="s">
        <v>84</v>
      </c>
      <c r="AT37" s="4" t="s">
        <v>3109</v>
      </c>
      <c r="AU37" s="4" t="s">
        <v>516</v>
      </c>
      <c r="AV37" s="4" t="s">
        <v>1903</v>
      </c>
      <c r="AW37" s="4" t="s">
        <v>84</v>
      </c>
    </row>
    <row r="38" spans="1:49" ht="86.4" x14ac:dyDescent="0.3">
      <c r="A38" s="25" t="s">
        <v>3028</v>
      </c>
      <c r="B38" s="4" t="s">
        <v>3110</v>
      </c>
      <c r="C38" s="4" t="s">
        <v>3111</v>
      </c>
      <c r="D38" s="4" t="s">
        <v>386</v>
      </c>
      <c r="E38" s="4" t="s">
        <v>1653</v>
      </c>
      <c r="F38" s="4" t="s">
        <v>3112</v>
      </c>
      <c r="G38" s="4" t="s">
        <v>3113</v>
      </c>
      <c r="H38" s="4" t="s">
        <v>256</v>
      </c>
      <c r="I38" s="4" t="s">
        <v>1382</v>
      </c>
      <c r="J38" s="4" t="s">
        <v>3114</v>
      </c>
      <c r="K38" s="4" t="s">
        <v>3115</v>
      </c>
      <c r="L38" s="4" t="s">
        <v>2838</v>
      </c>
      <c r="M38" s="4" t="s">
        <v>2633</v>
      </c>
      <c r="N38" s="4" t="s">
        <v>3116</v>
      </c>
      <c r="O38" s="4" t="s">
        <v>3117</v>
      </c>
      <c r="P38" s="4" t="s">
        <v>1517</v>
      </c>
      <c r="Q38" s="4" t="s">
        <v>185</v>
      </c>
      <c r="R38" s="4" t="s">
        <v>3118</v>
      </c>
      <c r="S38" s="4" t="s">
        <v>608</v>
      </c>
      <c r="T38" s="4" t="s">
        <v>1620</v>
      </c>
      <c r="U38" s="4" t="s">
        <v>158</v>
      </c>
      <c r="V38" s="4" t="s">
        <v>3119</v>
      </c>
      <c r="W38" s="4" t="s">
        <v>3120</v>
      </c>
      <c r="X38" s="4" t="s">
        <v>480</v>
      </c>
      <c r="Y38" s="4" t="s">
        <v>946</v>
      </c>
      <c r="Z38" s="4" t="s">
        <v>3121</v>
      </c>
      <c r="AA38" s="4" t="s">
        <v>3122</v>
      </c>
      <c r="AB38" s="4" t="s">
        <v>197</v>
      </c>
      <c r="AC38" s="4" t="s">
        <v>407</v>
      </c>
      <c r="AD38" s="4" t="s">
        <v>3123</v>
      </c>
      <c r="AE38" s="4" t="s">
        <v>2808</v>
      </c>
      <c r="AF38" s="4" t="s">
        <v>2005</v>
      </c>
      <c r="AG38" s="4" t="s">
        <v>617</v>
      </c>
      <c r="AH38" s="4" t="s">
        <v>3124</v>
      </c>
      <c r="AI38" s="4" t="s">
        <v>3125</v>
      </c>
      <c r="AJ38" s="4" t="s">
        <v>94</v>
      </c>
      <c r="AK38" s="4" t="s">
        <v>946</v>
      </c>
      <c r="AL38" s="4" t="s">
        <v>3126</v>
      </c>
      <c r="AM38" s="4" t="s">
        <v>3127</v>
      </c>
      <c r="AN38" s="4" t="s">
        <v>180</v>
      </c>
      <c r="AO38" s="4" t="s">
        <v>100</v>
      </c>
      <c r="AP38" s="4" t="s">
        <v>3128</v>
      </c>
      <c r="AQ38" s="4" t="s">
        <v>3129</v>
      </c>
      <c r="AR38" s="4" t="s">
        <v>235</v>
      </c>
      <c r="AS38" s="4" t="s">
        <v>127</v>
      </c>
      <c r="AT38" s="4" t="s">
        <v>630</v>
      </c>
      <c r="AU38" s="4" t="s">
        <v>2760</v>
      </c>
      <c r="AV38" s="4" t="s">
        <v>272</v>
      </c>
      <c r="AW38" s="4" t="s">
        <v>107</v>
      </c>
    </row>
    <row r="39" spans="1:49" ht="57.6" x14ac:dyDescent="0.3">
      <c r="A39" s="7" t="s">
        <v>2629</v>
      </c>
      <c r="B39" s="4" t="s">
        <v>3130</v>
      </c>
      <c r="C39" s="4" t="s">
        <v>2163</v>
      </c>
      <c r="D39" s="4" t="s">
        <v>2113</v>
      </c>
      <c r="E39" s="4" t="s">
        <v>1418</v>
      </c>
      <c r="F39" s="4" t="s">
        <v>155</v>
      </c>
      <c r="G39" s="4" t="s">
        <v>2530</v>
      </c>
      <c r="H39" s="4" t="s">
        <v>990</v>
      </c>
      <c r="I39" s="4" t="s">
        <v>1507</v>
      </c>
      <c r="J39" s="4" t="s">
        <v>3131</v>
      </c>
      <c r="K39" s="4" t="s">
        <v>2163</v>
      </c>
      <c r="L39" s="4" t="s">
        <v>3132</v>
      </c>
      <c r="M39" s="4" t="s">
        <v>2166</v>
      </c>
      <c r="N39" s="4" t="s">
        <v>3133</v>
      </c>
      <c r="O39" s="4" t="s">
        <v>3134</v>
      </c>
      <c r="P39" s="4" t="s">
        <v>197</v>
      </c>
      <c r="Q39" s="4" t="s">
        <v>117</v>
      </c>
      <c r="R39" s="4" t="s">
        <v>2636</v>
      </c>
      <c r="S39" s="4" t="s">
        <v>2637</v>
      </c>
      <c r="T39" s="4" t="s">
        <v>1533</v>
      </c>
      <c r="U39" s="4" t="s">
        <v>73</v>
      </c>
      <c r="V39" s="4" t="s">
        <v>3135</v>
      </c>
      <c r="W39" s="4" t="s">
        <v>3136</v>
      </c>
      <c r="X39" s="4" t="s">
        <v>94</v>
      </c>
      <c r="Y39" s="4" t="s">
        <v>1507</v>
      </c>
      <c r="Z39" s="4" t="s">
        <v>3137</v>
      </c>
      <c r="AA39" s="4" t="s">
        <v>3138</v>
      </c>
      <c r="AB39" s="4" t="s">
        <v>2188</v>
      </c>
      <c r="AC39" s="4" t="s">
        <v>107</v>
      </c>
      <c r="AD39" s="4" t="s">
        <v>2642</v>
      </c>
      <c r="AE39" s="4" t="s">
        <v>2643</v>
      </c>
      <c r="AF39" s="4" t="s">
        <v>430</v>
      </c>
      <c r="AG39" s="4" t="s">
        <v>1074</v>
      </c>
      <c r="AH39" s="4" t="s">
        <v>3139</v>
      </c>
      <c r="AI39" s="4" t="s">
        <v>3140</v>
      </c>
      <c r="AJ39" s="4" t="s">
        <v>307</v>
      </c>
      <c r="AK39" s="4" t="s">
        <v>1572</v>
      </c>
      <c r="AL39" s="4" t="s">
        <v>3141</v>
      </c>
      <c r="AM39" s="4" t="s">
        <v>3142</v>
      </c>
      <c r="AN39" s="4" t="s">
        <v>341</v>
      </c>
      <c r="AO39" s="4" t="s">
        <v>109</v>
      </c>
      <c r="AP39" s="4" t="s">
        <v>2648</v>
      </c>
      <c r="AQ39" s="4" t="s">
        <v>2649</v>
      </c>
      <c r="AR39" s="4" t="s">
        <v>180</v>
      </c>
      <c r="AS39" s="4" t="s">
        <v>100</v>
      </c>
      <c r="AT39" s="4" t="s">
        <v>3143</v>
      </c>
      <c r="AU39" s="4" t="s">
        <v>3144</v>
      </c>
      <c r="AV39" s="4" t="s">
        <v>2113</v>
      </c>
      <c r="AW39" s="4" t="s">
        <v>664</v>
      </c>
    </row>
    <row r="40" spans="1:49" ht="72" x14ac:dyDescent="0.3">
      <c r="A40" s="25" t="s">
        <v>2985</v>
      </c>
      <c r="B40" s="4" t="s">
        <v>844</v>
      </c>
      <c r="C40" s="4" t="s">
        <v>3145</v>
      </c>
      <c r="D40" s="4" t="s">
        <v>743</v>
      </c>
      <c r="E40" s="4" t="s">
        <v>158</v>
      </c>
      <c r="F40" s="4" t="s">
        <v>3146</v>
      </c>
      <c r="G40" s="4" t="s">
        <v>1065</v>
      </c>
      <c r="H40" s="4" t="s">
        <v>469</v>
      </c>
      <c r="I40" s="4" t="s">
        <v>394</v>
      </c>
      <c r="J40" s="4" t="s">
        <v>1543</v>
      </c>
      <c r="K40" s="4" t="s">
        <v>3147</v>
      </c>
      <c r="L40" s="4" t="s">
        <v>782</v>
      </c>
      <c r="M40" s="4" t="s">
        <v>158</v>
      </c>
      <c r="N40" s="4" t="s">
        <v>3148</v>
      </c>
      <c r="O40" s="4" t="s">
        <v>3149</v>
      </c>
      <c r="P40" s="4" t="s">
        <v>838</v>
      </c>
      <c r="Q40" s="4" t="s">
        <v>84</v>
      </c>
      <c r="R40" s="4" t="s">
        <v>3150</v>
      </c>
      <c r="S40" s="4" t="s">
        <v>3151</v>
      </c>
      <c r="T40" s="4" t="s">
        <v>250</v>
      </c>
      <c r="U40" s="4" t="s">
        <v>77</v>
      </c>
      <c r="V40" s="4" t="s">
        <v>3152</v>
      </c>
      <c r="W40" s="4" t="s">
        <v>271</v>
      </c>
      <c r="X40" s="4" t="s">
        <v>718</v>
      </c>
      <c r="Y40" s="4" t="s">
        <v>100</v>
      </c>
      <c r="Z40" s="4" t="s">
        <v>3153</v>
      </c>
      <c r="AA40" s="4" t="s">
        <v>3100</v>
      </c>
      <c r="AB40" s="4" t="s">
        <v>152</v>
      </c>
      <c r="AC40" s="4" t="s">
        <v>100</v>
      </c>
      <c r="AD40" s="4" t="s">
        <v>3154</v>
      </c>
      <c r="AE40" s="4" t="s">
        <v>3155</v>
      </c>
      <c r="AF40" s="4" t="s">
        <v>213</v>
      </c>
      <c r="AG40" s="4" t="s">
        <v>617</v>
      </c>
      <c r="AH40" s="4" t="s">
        <v>3156</v>
      </c>
      <c r="AI40" s="4" t="s">
        <v>1195</v>
      </c>
      <c r="AJ40" s="4" t="s">
        <v>756</v>
      </c>
      <c r="AK40" s="4" t="s">
        <v>103</v>
      </c>
      <c r="AL40" s="4" t="s">
        <v>3157</v>
      </c>
      <c r="AM40" s="4" t="s">
        <v>3158</v>
      </c>
      <c r="AN40" s="4" t="s">
        <v>363</v>
      </c>
      <c r="AO40" s="4" t="s">
        <v>84</v>
      </c>
      <c r="AP40" s="4" t="s">
        <v>3159</v>
      </c>
      <c r="AQ40" s="4" t="s">
        <v>1183</v>
      </c>
      <c r="AR40" s="4" t="s">
        <v>149</v>
      </c>
      <c r="AS40" s="4" t="s">
        <v>127</v>
      </c>
      <c r="AT40" s="4" t="s">
        <v>3160</v>
      </c>
      <c r="AU40" s="4" t="s">
        <v>3161</v>
      </c>
      <c r="AV40" s="4" t="s">
        <v>803</v>
      </c>
      <c r="AW40" s="4" t="s">
        <v>84</v>
      </c>
    </row>
    <row r="41" spans="1:49" ht="72" x14ac:dyDescent="0.3">
      <c r="A41" s="25" t="s">
        <v>3007</v>
      </c>
      <c r="B41" s="4" t="s">
        <v>3162</v>
      </c>
      <c r="C41" s="4" t="s">
        <v>3163</v>
      </c>
      <c r="D41" s="4" t="s">
        <v>213</v>
      </c>
      <c r="E41" s="4" t="s">
        <v>107</v>
      </c>
      <c r="F41" s="4" t="s">
        <v>3164</v>
      </c>
      <c r="G41" s="4" t="s">
        <v>3165</v>
      </c>
      <c r="H41" s="4" t="s">
        <v>1034</v>
      </c>
      <c r="I41" s="4" t="s">
        <v>407</v>
      </c>
      <c r="J41" s="4" t="s">
        <v>3166</v>
      </c>
      <c r="K41" s="4" t="s">
        <v>3167</v>
      </c>
      <c r="L41" s="4" t="s">
        <v>191</v>
      </c>
      <c r="M41" s="4" t="s">
        <v>1471</v>
      </c>
      <c r="N41" s="4" t="s">
        <v>3168</v>
      </c>
      <c r="O41" s="4" t="s">
        <v>3169</v>
      </c>
      <c r="P41" s="4" t="s">
        <v>216</v>
      </c>
      <c r="Q41" s="4" t="s">
        <v>84</v>
      </c>
      <c r="R41" s="4" t="s">
        <v>3170</v>
      </c>
      <c r="S41" s="4" t="s">
        <v>3171</v>
      </c>
      <c r="T41" s="4" t="s">
        <v>782</v>
      </c>
      <c r="U41" s="4" t="s">
        <v>84</v>
      </c>
      <c r="V41" s="4" t="s">
        <v>3172</v>
      </c>
      <c r="W41" s="4" t="s">
        <v>3173</v>
      </c>
      <c r="X41" s="4" t="s">
        <v>210</v>
      </c>
      <c r="Y41" s="4" t="s">
        <v>77</v>
      </c>
      <c r="Z41" s="4" t="s">
        <v>3174</v>
      </c>
      <c r="AA41" s="4" t="s">
        <v>3175</v>
      </c>
      <c r="AB41" s="4" t="s">
        <v>144</v>
      </c>
      <c r="AC41" s="4" t="s">
        <v>158</v>
      </c>
      <c r="AD41" s="4" t="s">
        <v>3176</v>
      </c>
      <c r="AE41" s="4" t="s">
        <v>1175</v>
      </c>
      <c r="AF41" s="4" t="s">
        <v>743</v>
      </c>
      <c r="AG41" s="4" t="s">
        <v>158</v>
      </c>
      <c r="AH41" s="4" t="s">
        <v>3177</v>
      </c>
      <c r="AI41" s="4" t="s">
        <v>3178</v>
      </c>
      <c r="AJ41" s="4" t="s">
        <v>243</v>
      </c>
      <c r="AK41" s="4" t="s">
        <v>407</v>
      </c>
      <c r="AL41" s="4" t="s">
        <v>3179</v>
      </c>
      <c r="AM41" s="4" t="s">
        <v>3180</v>
      </c>
      <c r="AN41" s="4" t="s">
        <v>818</v>
      </c>
      <c r="AO41" s="4" t="s">
        <v>103</v>
      </c>
      <c r="AP41" s="4" t="s">
        <v>3181</v>
      </c>
      <c r="AQ41" s="4" t="s">
        <v>3182</v>
      </c>
      <c r="AR41" s="4" t="s">
        <v>216</v>
      </c>
      <c r="AS41" s="4" t="s">
        <v>103</v>
      </c>
      <c r="AT41" s="4" t="s">
        <v>3183</v>
      </c>
      <c r="AU41" s="4" t="s">
        <v>3184</v>
      </c>
      <c r="AV41" s="4" t="s">
        <v>210</v>
      </c>
      <c r="AW41" s="4" t="s">
        <v>127</v>
      </c>
    </row>
    <row r="42" spans="1:49" ht="86.4" x14ac:dyDescent="0.3">
      <c r="A42" s="25" t="s">
        <v>3028</v>
      </c>
      <c r="B42" s="4" t="s">
        <v>3185</v>
      </c>
      <c r="C42" s="4" t="s">
        <v>312</v>
      </c>
      <c r="D42" s="4" t="s">
        <v>191</v>
      </c>
      <c r="E42" s="4" t="s">
        <v>982</v>
      </c>
      <c r="F42" s="4" t="s">
        <v>3186</v>
      </c>
      <c r="G42" s="4" t="s">
        <v>3187</v>
      </c>
      <c r="H42" s="4" t="s">
        <v>706</v>
      </c>
      <c r="I42" s="4" t="s">
        <v>407</v>
      </c>
      <c r="J42" s="4" t="s">
        <v>3188</v>
      </c>
      <c r="K42" s="4" t="s">
        <v>1526</v>
      </c>
      <c r="L42" s="4" t="s">
        <v>3045</v>
      </c>
      <c r="M42" s="4" t="s">
        <v>2429</v>
      </c>
      <c r="N42" s="4" t="s">
        <v>3189</v>
      </c>
      <c r="O42" s="4" t="s">
        <v>3190</v>
      </c>
      <c r="P42" s="4" t="s">
        <v>1522</v>
      </c>
      <c r="Q42" s="4" t="s">
        <v>73</v>
      </c>
      <c r="R42" s="4" t="s">
        <v>2320</v>
      </c>
      <c r="S42" s="4" t="s">
        <v>3191</v>
      </c>
      <c r="T42" s="4" t="s">
        <v>243</v>
      </c>
      <c r="U42" s="4" t="s">
        <v>158</v>
      </c>
      <c r="V42" s="4" t="s">
        <v>3192</v>
      </c>
      <c r="W42" s="4" t="s">
        <v>3193</v>
      </c>
      <c r="X42" s="4" t="s">
        <v>301</v>
      </c>
      <c r="Y42" s="4" t="s">
        <v>1058</v>
      </c>
      <c r="Z42" s="4" t="s">
        <v>3194</v>
      </c>
      <c r="AA42" s="4" t="s">
        <v>3195</v>
      </c>
      <c r="AB42" s="4" t="s">
        <v>188</v>
      </c>
      <c r="AC42" s="4" t="s">
        <v>407</v>
      </c>
      <c r="AD42" s="4" t="s">
        <v>3196</v>
      </c>
      <c r="AE42" s="4" t="s">
        <v>986</v>
      </c>
      <c r="AF42" s="4" t="s">
        <v>161</v>
      </c>
      <c r="AG42" s="4" t="s">
        <v>617</v>
      </c>
      <c r="AH42" s="4" t="s">
        <v>3197</v>
      </c>
      <c r="AI42" s="4" t="s">
        <v>3198</v>
      </c>
      <c r="AJ42" s="4" t="s">
        <v>522</v>
      </c>
      <c r="AK42" s="4" t="s">
        <v>1507</v>
      </c>
      <c r="AL42" s="4" t="s">
        <v>3199</v>
      </c>
      <c r="AM42" s="4" t="s">
        <v>3200</v>
      </c>
      <c r="AN42" s="4" t="s">
        <v>659</v>
      </c>
      <c r="AO42" s="4" t="s">
        <v>100</v>
      </c>
      <c r="AP42" s="4" t="s">
        <v>3201</v>
      </c>
      <c r="AQ42" s="4" t="s">
        <v>3202</v>
      </c>
      <c r="AR42" s="4" t="s">
        <v>243</v>
      </c>
      <c r="AS42" s="4" t="s">
        <v>77</v>
      </c>
      <c r="AT42" s="4" t="s">
        <v>3203</v>
      </c>
      <c r="AU42" s="4" t="s">
        <v>2900</v>
      </c>
      <c r="AV42" s="4" t="s">
        <v>1720</v>
      </c>
      <c r="AW42" s="4" t="s">
        <v>394</v>
      </c>
    </row>
    <row r="43" spans="1:49" ht="57.6" x14ac:dyDescent="0.3">
      <c r="A43" s="7" t="s">
        <v>2652</v>
      </c>
      <c r="B43" s="4" t="s">
        <v>3204</v>
      </c>
      <c r="C43" s="4" t="s">
        <v>3205</v>
      </c>
      <c r="D43" s="4" t="s">
        <v>2151</v>
      </c>
      <c r="E43" s="4" t="s">
        <v>1653</v>
      </c>
      <c r="F43" s="4" t="s">
        <v>2655</v>
      </c>
      <c r="G43" s="4" t="s">
        <v>1384</v>
      </c>
      <c r="H43" s="4" t="s">
        <v>1389</v>
      </c>
      <c r="I43" s="4" t="s">
        <v>1572</v>
      </c>
      <c r="J43" s="4" t="s">
        <v>3206</v>
      </c>
      <c r="K43" s="4" t="s">
        <v>3207</v>
      </c>
      <c r="L43" s="4" t="s">
        <v>2014</v>
      </c>
      <c r="M43" s="4" t="s">
        <v>2148</v>
      </c>
      <c r="N43" s="4" t="s">
        <v>3208</v>
      </c>
      <c r="O43" s="4" t="s">
        <v>2745</v>
      </c>
      <c r="P43" s="4" t="s">
        <v>2165</v>
      </c>
      <c r="Q43" s="4" t="s">
        <v>407</v>
      </c>
      <c r="R43" s="4" t="s">
        <v>2661</v>
      </c>
      <c r="S43" s="4" t="s">
        <v>2662</v>
      </c>
      <c r="T43" s="4" t="s">
        <v>519</v>
      </c>
      <c r="U43" s="4" t="s">
        <v>407</v>
      </c>
      <c r="V43" s="4" t="s">
        <v>3209</v>
      </c>
      <c r="W43" s="4" t="s">
        <v>3210</v>
      </c>
      <c r="X43" s="4" t="s">
        <v>2658</v>
      </c>
      <c r="Y43" s="4" t="s">
        <v>1144</v>
      </c>
      <c r="Z43" s="4" t="s">
        <v>3211</v>
      </c>
      <c r="AA43" s="4" t="s">
        <v>3212</v>
      </c>
      <c r="AB43" s="4" t="s">
        <v>420</v>
      </c>
      <c r="AC43" s="4" t="s">
        <v>664</v>
      </c>
      <c r="AD43" s="4" t="s">
        <v>2668</v>
      </c>
      <c r="AE43" s="4" t="s">
        <v>2669</v>
      </c>
      <c r="AF43" s="4" t="s">
        <v>420</v>
      </c>
      <c r="AG43" s="4" t="s">
        <v>1418</v>
      </c>
      <c r="AH43" s="4" t="s">
        <v>3213</v>
      </c>
      <c r="AI43" s="4" t="s">
        <v>3214</v>
      </c>
      <c r="AJ43" s="4" t="s">
        <v>420</v>
      </c>
      <c r="AK43" s="4" t="s">
        <v>1507</v>
      </c>
      <c r="AL43" s="4" t="s">
        <v>3215</v>
      </c>
      <c r="AM43" s="4" t="s">
        <v>3216</v>
      </c>
      <c r="AN43" s="4" t="s">
        <v>416</v>
      </c>
      <c r="AO43" s="4" t="s">
        <v>185</v>
      </c>
      <c r="AP43" s="4" t="s">
        <v>2674</v>
      </c>
      <c r="AQ43" s="4" t="s">
        <v>2675</v>
      </c>
      <c r="AR43" s="4" t="s">
        <v>690</v>
      </c>
      <c r="AS43" s="4" t="s">
        <v>73</v>
      </c>
      <c r="AT43" s="4" t="s">
        <v>3217</v>
      </c>
      <c r="AU43" s="4" t="s">
        <v>3218</v>
      </c>
      <c r="AV43" s="4" t="s">
        <v>3219</v>
      </c>
      <c r="AW43" s="4" t="s">
        <v>664</v>
      </c>
    </row>
    <row r="44" spans="1:49" ht="72" x14ac:dyDescent="0.3">
      <c r="A44" s="25" t="s">
        <v>2985</v>
      </c>
      <c r="B44" s="4" t="s">
        <v>3220</v>
      </c>
      <c r="C44" s="4" t="s">
        <v>3221</v>
      </c>
      <c r="D44" s="4" t="s">
        <v>442</v>
      </c>
      <c r="E44" s="4" t="s">
        <v>1074</v>
      </c>
      <c r="F44" s="4" t="s">
        <v>3222</v>
      </c>
      <c r="G44" s="4" t="s">
        <v>2544</v>
      </c>
      <c r="H44" s="4" t="s">
        <v>442</v>
      </c>
      <c r="I44" s="4" t="s">
        <v>1382</v>
      </c>
      <c r="J44" s="4" t="s">
        <v>3013</v>
      </c>
      <c r="K44" s="4" t="s">
        <v>3223</v>
      </c>
      <c r="L44" s="4" t="s">
        <v>442</v>
      </c>
      <c r="M44" s="4" t="s">
        <v>1725</v>
      </c>
      <c r="N44" s="4" t="s">
        <v>3224</v>
      </c>
      <c r="O44" s="4" t="s">
        <v>3225</v>
      </c>
      <c r="P44" s="4" t="s">
        <v>157</v>
      </c>
      <c r="Q44" s="4" t="s">
        <v>100</v>
      </c>
      <c r="R44" s="4" t="s">
        <v>3226</v>
      </c>
      <c r="S44" s="4" t="s">
        <v>1713</v>
      </c>
      <c r="T44" s="4" t="s">
        <v>164</v>
      </c>
      <c r="U44" s="4" t="s">
        <v>185</v>
      </c>
      <c r="V44" s="4" t="s">
        <v>3227</v>
      </c>
      <c r="W44" s="4" t="s">
        <v>3095</v>
      </c>
      <c r="X44" s="4" t="s">
        <v>253</v>
      </c>
      <c r="Y44" s="4" t="s">
        <v>100</v>
      </c>
      <c r="Z44" s="4" t="s">
        <v>3228</v>
      </c>
      <c r="AA44" s="4" t="s">
        <v>1366</v>
      </c>
      <c r="AB44" s="4" t="s">
        <v>1760</v>
      </c>
      <c r="AC44" s="4" t="s">
        <v>73</v>
      </c>
      <c r="AD44" s="4" t="s">
        <v>3229</v>
      </c>
      <c r="AE44" s="4" t="s">
        <v>3230</v>
      </c>
      <c r="AF44" s="4" t="s">
        <v>200</v>
      </c>
      <c r="AG44" s="4" t="s">
        <v>1074</v>
      </c>
      <c r="AH44" s="4" t="s">
        <v>3231</v>
      </c>
      <c r="AI44" s="4" t="s">
        <v>3232</v>
      </c>
      <c r="AJ44" s="4" t="s">
        <v>144</v>
      </c>
      <c r="AK44" s="4" t="s">
        <v>73</v>
      </c>
      <c r="AL44" s="4" t="s">
        <v>3233</v>
      </c>
      <c r="AM44" s="4" t="s">
        <v>3234</v>
      </c>
      <c r="AN44" s="4" t="s">
        <v>1620</v>
      </c>
      <c r="AO44" s="4" t="s">
        <v>127</v>
      </c>
      <c r="AP44" s="4" t="s">
        <v>3235</v>
      </c>
      <c r="AQ44" s="4" t="s">
        <v>1671</v>
      </c>
      <c r="AR44" s="4" t="s">
        <v>134</v>
      </c>
      <c r="AS44" s="4" t="s">
        <v>77</v>
      </c>
      <c r="AT44" s="4" t="s">
        <v>3236</v>
      </c>
      <c r="AU44" s="4" t="s">
        <v>3237</v>
      </c>
      <c r="AV44" s="4" t="s">
        <v>706</v>
      </c>
      <c r="AW44" s="4" t="s">
        <v>109</v>
      </c>
    </row>
    <row r="45" spans="1:49" ht="72" x14ac:dyDescent="0.3">
      <c r="A45" s="25" t="s">
        <v>3007</v>
      </c>
      <c r="B45" s="4" t="s">
        <v>3238</v>
      </c>
      <c r="C45" s="4" t="s">
        <v>3239</v>
      </c>
      <c r="D45" s="4" t="s">
        <v>659</v>
      </c>
      <c r="E45" s="4" t="s">
        <v>1074</v>
      </c>
      <c r="F45" s="4" t="s">
        <v>3240</v>
      </c>
      <c r="G45" s="4" t="s">
        <v>3241</v>
      </c>
      <c r="H45" s="4" t="s">
        <v>474</v>
      </c>
      <c r="I45" s="4" t="s">
        <v>73</v>
      </c>
      <c r="J45" s="4" t="s">
        <v>3242</v>
      </c>
      <c r="K45" s="4" t="s">
        <v>3243</v>
      </c>
      <c r="L45" s="4" t="s">
        <v>901</v>
      </c>
      <c r="M45" s="4" t="s">
        <v>2084</v>
      </c>
      <c r="N45" s="4" t="s">
        <v>3244</v>
      </c>
      <c r="O45" s="4" t="s">
        <v>3245</v>
      </c>
      <c r="P45" s="4" t="s">
        <v>335</v>
      </c>
      <c r="Q45" s="4" t="s">
        <v>158</v>
      </c>
      <c r="R45" s="4" t="s">
        <v>3246</v>
      </c>
      <c r="S45" s="4" t="s">
        <v>1998</v>
      </c>
      <c r="T45" s="4" t="s">
        <v>469</v>
      </c>
      <c r="U45" s="4" t="s">
        <v>100</v>
      </c>
      <c r="V45" s="4" t="s">
        <v>3247</v>
      </c>
      <c r="W45" s="4" t="s">
        <v>3248</v>
      </c>
      <c r="X45" s="4" t="s">
        <v>1522</v>
      </c>
      <c r="Y45" s="4" t="s">
        <v>591</v>
      </c>
      <c r="Z45" s="4" t="s">
        <v>3249</v>
      </c>
      <c r="AA45" s="4" t="s">
        <v>3250</v>
      </c>
      <c r="AB45" s="4" t="s">
        <v>1029</v>
      </c>
      <c r="AC45" s="4" t="s">
        <v>73</v>
      </c>
      <c r="AD45" s="4" t="s">
        <v>3251</v>
      </c>
      <c r="AE45" s="4" t="s">
        <v>1410</v>
      </c>
      <c r="AF45" s="4" t="s">
        <v>1620</v>
      </c>
      <c r="AG45" s="4" t="s">
        <v>617</v>
      </c>
      <c r="AH45" s="4" t="s">
        <v>3252</v>
      </c>
      <c r="AI45" s="4" t="s">
        <v>1671</v>
      </c>
      <c r="AJ45" s="4" t="s">
        <v>1533</v>
      </c>
      <c r="AK45" s="4" t="s">
        <v>664</v>
      </c>
      <c r="AL45" s="4" t="s">
        <v>3253</v>
      </c>
      <c r="AM45" s="4" t="s">
        <v>3254</v>
      </c>
      <c r="AN45" s="4" t="s">
        <v>213</v>
      </c>
      <c r="AO45" s="4" t="s">
        <v>127</v>
      </c>
      <c r="AP45" s="4" t="s">
        <v>3255</v>
      </c>
      <c r="AQ45" s="4" t="s">
        <v>3256</v>
      </c>
      <c r="AR45" s="4" t="s">
        <v>920</v>
      </c>
      <c r="AS45" s="4" t="s">
        <v>100</v>
      </c>
      <c r="AT45" s="4" t="s">
        <v>3257</v>
      </c>
      <c r="AU45" s="4" t="s">
        <v>3258</v>
      </c>
      <c r="AV45" s="4" t="s">
        <v>1108</v>
      </c>
      <c r="AW45" s="4" t="s">
        <v>158</v>
      </c>
    </row>
    <row r="46" spans="1:49" ht="86.4" x14ac:dyDescent="0.3">
      <c r="A46" s="25" t="s">
        <v>3028</v>
      </c>
      <c r="B46" s="4" t="s">
        <v>3259</v>
      </c>
      <c r="C46" s="4" t="s">
        <v>2343</v>
      </c>
      <c r="D46" s="4" t="s">
        <v>219</v>
      </c>
      <c r="E46" s="4" t="s">
        <v>73</v>
      </c>
      <c r="F46" s="4" t="s">
        <v>2950</v>
      </c>
      <c r="G46" s="4" t="s">
        <v>3260</v>
      </c>
      <c r="H46" s="4" t="s">
        <v>256</v>
      </c>
      <c r="I46" s="4" t="s">
        <v>664</v>
      </c>
      <c r="J46" s="4" t="s">
        <v>3261</v>
      </c>
      <c r="K46" s="4" t="s">
        <v>1107</v>
      </c>
      <c r="L46" s="4" t="s">
        <v>838</v>
      </c>
      <c r="M46" s="4" t="s">
        <v>117</v>
      </c>
      <c r="N46" s="4" t="s">
        <v>3262</v>
      </c>
      <c r="O46" s="4" t="s">
        <v>2639</v>
      </c>
      <c r="P46" s="4" t="s">
        <v>1414</v>
      </c>
      <c r="Q46" s="4" t="s">
        <v>185</v>
      </c>
      <c r="R46" s="4" t="s">
        <v>3263</v>
      </c>
      <c r="S46" s="4" t="s">
        <v>3264</v>
      </c>
      <c r="T46" s="4" t="s">
        <v>164</v>
      </c>
      <c r="U46" s="4" t="s">
        <v>73</v>
      </c>
      <c r="V46" s="4" t="s">
        <v>3265</v>
      </c>
      <c r="W46" s="4" t="s">
        <v>3266</v>
      </c>
      <c r="X46" s="4" t="s">
        <v>1392</v>
      </c>
      <c r="Y46" s="4" t="s">
        <v>946</v>
      </c>
      <c r="Z46" s="4" t="s">
        <v>3267</v>
      </c>
      <c r="AA46" s="4" t="s">
        <v>119</v>
      </c>
      <c r="AB46" s="4" t="s">
        <v>1848</v>
      </c>
      <c r="AC46" s="4" t="s">
        <v>117</v>
      </c>
      <c r="AD46" s="4" t="s">
        <v>3268</v>
      </c>
      <c r="AE46" s="4" t="s">
        <v>3269</v>
      </c>
      <c r="AF46" s="4" t="s">
        <v>247</v>
      </c>
      <c r="AG46" s="4" t="s">
        <v>394</v>
      </c>
      <c r="AH46" s="4" t="s">
        <v>3270</v>
      </c>
      <c r="AI46" s="4" t="s">
        <v>3271</v>
      </c>
      <c r="AJ46" s="4" t="s">
        <v>442</v>
      </c>
      <c r="AK46" s="4" t="s">
        <v>591</v>
      </c>
      <c r="AL46" s="4" t="s">
        <v>3272</v>
      </c>
      <c r="AM46" s="4" t="s">
        <v>3273</v>
      </c>
      <c r="AN46" s="4" t="s">
        <v>445</v>
      </c>
      <c r="AO46" s="4" t="s">
        <v>109</v>
      </c>
      <c r="AP46" s="4" t="s">
        <v>3274</v>
      </c>
      <c r="AQ46" s="4" t="s">
        <v>3275</v>
      </c>
      <c r="AR46" s="4" t="s">
        <v>265</v>
      </c>
      <c r="AS46" s="4" t="s">
        <v>100</v>
      </c>
      <c r="AT46" s="4" t="s">
        <v>3276</v>
      </c>
      <c r="AU46" s="4" t="s">
        <v>3277</v>
      </c>
      <c r="AV46" s="4" t="s">
        <v>268</v>
      </c>
      <c r="AW46" s="4" t="s">
        <v>394</v>
      </c>
    </row>
    <row r="47" spans="1:49" ht="43.2" x14ac:dyDescent="0.3">
      <c r="A47" s="7" t="s">
        <v>3278</v>
      </c>
      <c r="B47" s="4" t="s">
        <v>3279</v>
      </c>
      <c r="C47" s="4" t="s">
        <v>3214</v>
      </c>
      <c r="D47" s="4" t="s">
        <v>3280</v>
      </c>
      <c r="E47" s="4" t="s">
        <v>1070</v>
      </c>
      <c r="F47" s="4" t="s">
        <v>3281</v>
      </c>
      <c r="G47" s="4" t="s">
        <v>3282</v>
      </c>
      <c r="H47" s="4" t="s">
        <v>1772</v>
      </c>
      <c r="I47" s="4" t="s">
        <v>2369</v>
      </c>
      <c r="J47" s="4" t="s">
        <v>3283</v>
      </c>
      <c r="K47" s="4" t="s">
        <v>3284</v>
      </c>
      <c r="L47" s="4" t="s">
        <v>1802</v>
      </c>
      <c r="M47" s="4" t="s">
        <v>3285</v>
      </c>
      <c r="N47" s="4" t="s">
        <v>3286</v>
      </c>
      <c r="O47" s="4" t="s">
        <v>3287</v>
      </c>
      <c r="P47" s="4" t="s">
        <v>3288</v>
      </c>
      <c r="Q47" s="4" t="s">
        <v>591</v>
      </c>
      <c r="R47" s="4" t="s">
        <v>3289</v>
      </c>
      <c r="S47" s="4" t="s">
        <v>3290</v>
      </c>
      <c r="T47" s="4" t="s">
        <v>3291</v>
      </c>
      <c r="U47" s="4" t="s">
        <v>1074</v>
      </c>
      <c r="V47" s="4" t="s">
        <v>3292</v>
      </c>
      <c r="W47" s="4" t="s">
        <v>3293</v>
      </c>
      <c r="X47" s="4" t="s">
        <v>3294</v>
      </c>
      <c r="Y47" s="4" t="s">
        <v>1245</v>
      </c>
      <c r="Z47" s="4" t="s">
        <v>3295</v>
      </c>
      <c r="AA47" s="4" t="s">
        <v>3296</v>
      </c>
      <c r="AB47" s="4" t="s">
        <v>1300</v>
      </c>
      <c r="AC47" s="4" t="s">
        <v>1382</v>
      </c>
      <c r="AD47" s="4" t="s">
        <v>3297</v>
      </c>
      <c r="AE47" s="4" t="s">
        <v>1891</v>
      </c>
      <c r="AF47" s="4" t="s">
        <v>709</v>
      </c>
      <c r="AG47" s="4" t="s">
        <v>1653</v>
      </c>
      <c r="AH47" s="4" t="s">
        <v>3298</v>
      </c>
      <c r="AI47" s="4" t="s">
        <v>3299</v>
      </c>
      <c r="AJ47" s="4" t="s">
        <v>3300</v>
      </c>
      <c r="AK47" s="4" t="s">
        <v>1471</v>
      </c>
      <c r="AL47" s="4" t="s">
        <v>3301</v>
      </c>
      <c r="AM47" s="4" t="s">
        <v>3302</v>
      </c>
      <c r="AN47" s="4" t="s">
        <v>3303</v>
      </c>
      <c r="AO47" s="4" t="s">
        <v>185</v>
      </c>
      <c r="AP47" s="4" t="s">
        <v>3304</v>
      </c>
      <c r="AQ47" s="4" t="s">
        <v>3305</v>
      </c>
      <c r="AR47" s="4" t="s">
        <v>3306</v>
      </c>
      <c r="AS47" s="4" t="s">
        <v>617</v>
      </c>
      <c r="AT47" s="4" t="s">
        <v>3307</v>
      </c>
      <c r="AU47" s="4" t="s">
        <v>3308</v>
      </c>
      <c r="AV47" s="4" t="s">
        <v>3309</v>
      </c>
      <c r="AW47" s="4" t="s">
        <v>591</v>
      </c>
    </row>
    <row r="48" spans="1:49" ht="72" x14ac:dyDescent="0.3">
      <c r="A48" s="25" t="s">
        <v>2985</v>
      </c>
      <c r="B48" s="4" t="s">
        <v>3310</v>
      </c>
      <c r="C48" s="4" t="s">
        <v>948</v>
      </c>
      <c r="D48" s="4" t="s">
        <v>3311</v>
      </c>
      <c r="E48" s="4" t="s">
        <v>1471</v>
      </c>
      <c r="F48" s="4" t="s">
        <v>3312</v>
      </c>
      <c r="G48" s="4" t="s">
        <v>3313</v>
      </c>
      <c r="H48" s="4" t="s">
        <v>3314</v>
      </c>
      <c r="I48" s="4" t="s">
        <v>1083</v>
      </c>
      <c r="J48" s="4" t="s">
        <v>3315</v>
      </c>
      <c r="K48" s="4" t="s">
        <v>3316</v>
      </c>
      <c r="L48" s="4" t="s">
        <v>895</v>
      </c>
      <c r="M48" s="4" t="s">
        <v>2094</v>
      </c>
      <c r="N48" s="4" t="s">
        <v>3317</v>
      </c>
      <c r="O48" s="4" t="s">
        <v>3318</v>
      </c>
      <c r="P48" s="4" t="s">
        <v>3319</v>
      </c>
      <c r="Q48" s="4" t="s">
        <v>1074</v>
      </c>
      <c r="R48" s="4" t="s">
        <v>3320</v>
      </c>
      <c r="S48" s="4" t="s">
        <v>3321</v>
      </c>
      <c r="T48" s="4" t="s">
        <v>3322</v>
      </c>
      <c r="U48" s="4" t="s">
        <v>982</v>
      </c>
      <c r="V48" s="4" t="s">
        <v>3323</v>
      </c>
      <c r="W48" s="4" t="s">
        <v>3324</v>
      </c>
      <c r="X48" s="4" t="s">
        <v>288</v>
      </c>
      <c r="Y48" s="4" t="s">
        <v>1572</v>
      </c>
      <c r="Z48" s="4" t="s">
        <v>3325</v>
      </c>
      <c r="AA48" s="4" t="s">
        <v>3326</v>
      </c>
      <c r="AB48" s="4" t="s">
        <v>3327</v>
      </c>
      <c r="AC48" s="4" t="s">
        <v>1074</v>
      </c>
      <c r="AD48" s="4" t="s">
        <v>3328</v>
      </c>
      <c r="AE48" s="4" t="s">
        <v>3329</v>
      </c>
      <c r="AF48" s="4" t="s">
        <v>3330</v>
      </c>
      <c r="AG48" s="4" t="s">
        <v>1418</v>
      </c>
      <c r="AH48" s="4" t="s">
        <v>3331</v>
      </c>
      <c r="AI48" s="4" t="s">
        <v>3332</v>
      </c>
      <c r="AJ48" s="4" t="s">
        <v>877</v>
      </c>
      <c r="AK48" s="4" t="s">
        <v>1144</v>
      </c>
      <c r="AL48" s="4" t="s">
        <v>3333</v>
      </c>
      <c r="AM48" s="4" t="s">
        <v>3334</v>
      </c>
      <c r="AN48" s="4" t="s">
        <v>2883</v>
      </c>
      <c r="AO48" s="4" t="s">
        <v>185</v>
      </c>
      <c r="AP48" s="4" t="s">
        <v>3335</v>
      </c>
      <c r="AQ48" s="4" t="s">
        <v>3336</v>
      </c>
      <c r="AR48" s="4" t="s">
        <v>3337</v>
      </c>
      <c r="AS48" s="4" t="s">
        <v>407</v>
      </c>
      <c r="AT48" s="4" t="s">
        <v>3338</v>
      </c>
      <c r="AU48" s="4" t="s">
        <v>3339</v>
      </c>
      <c r="AV48" s="4" t="s">
        <v>1658</v>
      </c>
      <c r="AW48" s="4" t="s">
        <v>664</v>
      </c>
    </row>
    <row r="49" spans="1:49" ht="72" x14ac:dyDescent="0.3">
      <c r="A49" s="25" t="s">
        <v>3007</v>
      </c>
      <c r="B49" s="4" t="s">
        <v>3340</v>
      </c>
      <c r="C49" s="4" t="s">
        <v>2321</v>
      </c>
      <c r="D49" s="4" t="s">
        <v>3031</v>
      </c>
      <c r="E49" s="4" t="s">
        <v>1074</v>
      </c>
      <c r="F49" s="4" t="s">
        <v>3341</v>
      </c>
      <c r="G49" s="4" t="s">
        <v>2620</v>
      </c>
      <c r="H49" s="4" t="s">
        <v>177</v>
      </c>
      <c r="I49" s="4" t="s">
        <v>1653</v>
      </c>
      <c r="J49" s="4" t="s">
        <v>3342</v>
      </c>
      <c r="K49" s="4" t="s">
        <v>1974</v>
      </c>
      <c r="L49" s="4" t="s">
        <v>191</v>
      </c>
      <c r="M49" s="4" t="s">
        <v>1507</v>
      </c>
      <c r="N49" s="4" t="s">
        <v>3343</v>
      </c>
      <c r="O49" s="4" t="s">
        <v>3344</v>
      </c>
      <c r="P49" s="4" t="s">
        <v>1720</v>
      </c>
      <c r="Q49" s="4" t="s">
        <v>117</v>
      </c>
      <c r="R49" s="4" t="s">
        <v>3345</v>
      </c>
      <c r="S49" s="4" t="s">
        <v>3346</v>
      </c>
      <c r="T49" s="4" t="s">
        <v>1411</v>
      </c>
      <c r="U49" s="4" t="s">
        <v>107</v>
      </c>
      <c r="V49" s="4" t="s">
        <v>3347</v>
      </c>
      <c r="W49" s="4" t="s">
        <v>3348</v>
      </c>
      <c r="X49" s="4" t="s">
        <v>1240</v>
      </c>
      <c r="Y49" s="4" t="s">
        <v>1382</v>
      </c>
      <c r="Z49" s="4" t="s">
        <v>3349</v>
      </c>
      <c r="AA49" s="4" t="s">
        <v>3350</v>
      </c>
      <c r="AB49" s="4" t="s">
        <v>1022</v>
      </c>
      <c r="AC49" s="4" t="s">
        <v>73</v>
      </c>
      <c r="AD49" s="4" t="s">
        <v>3351</v>
      </c>
      <c r="AE49" s="4" t="s">
        <v>3352</v>
      </c>
      <c r="AF49" s="4" t="s">
        <v>1022</v>
      </c>
      <c r="AG49" s="4" t="s">
        <v>107</v>
      </c>
      <c r="AH49" s="4" t="s">
        <v>3353</v>
      </c>
      <c r="AI49" s="4" t="s">
        <v>3354</v>
      </c>
      <c r="AJ49" s="4" t="s">
        <v>180</v>
      </c>
      <c r="AK49" s="4" t="s">
        <v>107</v>
      </c>
      <c r="AL49" s="4" t="s">
        <v>3355</v>
      </c>
      <c r="AM49" s="4" t="s">
        <v>3356</v>
      </c>
      <c r="AN49" s="4" t="s">
        <v>439</v>
      </c>
      <c r="AO49" s="4" t="s">
        <v>158</v>
      </c>
      <c r="AP49" s="4" t="s">
        <v>3357</v>
      </c>
      <c r="AQ49" s="4" t="s">
        <v>3358</v>
      </c>
      <c r="AR49" s="4" t="s">
        <v>275</v>
      </c>
      <c r="AS49" s="4" t="s">
        <v>117</v>
      </c>
      <c r="AT49" s="4" t="s">
        <v>3359</v>
      </c>
      <c r="AU49" s="4" t="s">
        <v>3360</v>
      </c>
      <c r="AV49" s="4" t="s">
        <v>268</v>
      </c>
      <c r="AW49" s="4" t="s">
        <v>407</v>
      </c>
    </row>
    <row r="50" spans="1:49" ht="86.4" x14ac:dyDescent="0.3">
      <c r="A50" s="25" t="s">
        <v>3028</v>
      </c>
      <c r="B50" s="4" t="s">
        <v>3361</v>
      </c>
      <c r="C50" s="4" t="s">
        <v>3362</v>
      </c>
      <c r="D50" s="4" t="s">
        <v>363</v>
      </c>
      <c r="E50" s="4" t="s">
        <v>185</v>
      </c>
      <c r="F50" s="4" t="s">
        <v>3363</v>
      </c>
      <c r="G50" s="4" t="s">
        <v>3364</v>
      </c>
      <c r="H50" s="4" t="s">
        <v>250</v>
      </c>
      <c r="I50" s="4" t="s">
        <v>664</v>
      </c>
      <c r="J50" s="4" t="s">
        <v>3365</v>
      </c>
      <c r="K50" s="4" t="s">
        <v>3010</v>
      </c>
      <c r="L50" s="4" t="s">
        <v>738</v>
      </c>
      <c r="M50" s="4" t="s">
        <v>103</v>
      </c>
      <c r="N50" s="4" t="s">
        <v>3366</v>
      </c>
      <c r="O50" s="4" t="s">
        <v>3138</v>
      </c>
      <c r="P50" s="4" t="s">
        <v>1322</v>
      </c>
      <c r="Q50" s="4" t="s">
        <v>185</v>
      </c>
      <c r="R50" s="4" t="s">
        <v>3367</v>
      </c>
      <c r="S50" s="4" t="s">
        <v>3368</v>
      </c>
      <c r="T50" s="4" t="s">
        <v>442</v>
      </c>
      <c r="U50" s="4" t="s">
        <v>617</v>
      </c>
      <c r="V50" s="4" t="s">
        <v>3369</v>
      </c>
      <c r="W50" s="4" t="s">
        <v>3370</v>
      </c>
      <c r="X50" s="4" t="s">
        <v>1510</v>
      </c>
      <c r="Y50" s="4" t="s">
        <v>664</v>
      </c>
      <c r="Z50" s="4" t="s">
        <v>3371</v>
      </c>
      <c r="AA50" s="4" t="s">
        <v>3372</v>
      </c>
      <c r="AB50" s="4" t="s">
        <v>149</v>
      </c>
      <c r="AC50" s="4" t="s">
        <v>100</v>
      </c>
      <c r="AD50" s="4" t="s">
        <v>3373</v>
      </c>
      <c r="AE50" s="4" t="s">
        <v>2922</v>
      </c>
      <c r="AF50" s="4" t="s">
        <v>161</v>
      </c>
      <c r="AG50" s="4" t="s">
        <v>617</v>
      </c>
      <c r="AH50" s="4" t="s">
        <v>3374</v>
      </c>
      <c r="AI50" s="4" t="s">
        <v>64</v>
      </c>
      <c r="AJ50" s="4" t="s">
        <v>782</v>
      </c>
      <c r="AK50" s="4" t="s">
        <v>100</v>
      </c>
      <c r="AL50" s="4" t="s">
        <v>3375</v>
      </c>
      <c r="AM50" s="4" t="s">
        <v>3376</v>
      </c>
      <c r="AN50" s="4" t="s">
        <v>1322</v>
      </c>
      <c r="AO50" s="4" t="s">
        <v>77</v>
      </c>
      <c r="AP50" s="4" t="s">
        <v>3377</v>
      </c>
      <c r="AQ50" s="4" t="s">
        <v>3378</v>
      </c>
      <c r="AR50" s="4" t="s">
        <v>442</v>
      </c>
      <c r="AS50" s="4" t="s">
        <v>100</v>
      </c>
      <c r="AT50" s="4" t="s">
        <v>3379</v>
      </c>
      <c r="AU50" s="4" t="s">
        <v>300</v>
      </c>
      <c r="AV50" s="4" t="s">
        <v>161</v>
      </c>
      <c r="AW50" s="4" t="s">
        <v>158</v>
      </c>
    </row>
    <row r="51" spans="1:49" ht="86.4" x14ac:dyDescent="0.3">
      <c r="A51" s="7" t="s">
        <v>3380</v>
      </c>
      <c r="B51" s="4" t="s">
        <v>3381</v>
      </c>
      <c r="C51" s="4" t="s">
        <v>3382</v>
      </c>
      <c r="D51" s="4" t="s">
        <v>144</v>
      </c>
      <c r="E51" s="4" t="s">
        <v>407</v>
      </c>
      <c r="F51" s="4" t="s">
        <v>3383</v>
      </c>
      <c r="G51" s="4" t="s">
        <v>847</v>
      </c>
      <c r="H51" s="4" t="s">
        <v>131</v>
      </c>
      <c r="I51" s="4" t="s">
        <v>185</v>
      </c>
      <c r="J51" s="4" t="s">
        <v>3384</v>
      </c>
      <c r="K51" s="4" t="s">
        <v>2081</v>
      </c>
      <c r="L51" s="4" t="s">
        <v>137</v>
      </c>
      <c r="M51" s="4" t="s">
        <v>1144</v>
      </c>
      <c r="N51" s="4" t="s">
        <v>3385</v>
      </c>
      <c r="O51" s="4" t="s">
        <v>3386</v>
      </c>
      <c r="P51" s="4" t="s">
        <v>253</v>
      </c>
      <c r="Q51" s="4" t="s">
        <v>127</v>
      </c>
      <c r="R51" s="4" t="s">
        <v>1971</v>
      </c>
      <c r="S51" s="4" t="s">
        <v>1965</v>
      </c>
      <c r="T51" s="4" t="s">
        <v>818</v>
      </c>
      <c r="U51" s="4" t="s">
        <v>77</v>
      </c>
      <c r="V51" s="4" t="s">
        <v>3387</v>
      </c>
      <c r="W51" s="4" t="s">
        <v>3388</v>
      </c>
      <c r="X51" s="4" t="s">
        <v>210</v>
      </c>
      <c r="Y51" s="4" t="s">
        <v>100</v>
      </c>
      <c r="Z51" s="4" t="s">
        <v>3389</v>
      </c>
      <c r="AA51" s="4" t="s">
        <v>1219</v>
      </c>
      <c r="AB51" s="4" t="s">
        <v>152</v>
      </c>
      <c r="AC51" s="4" t="s">
        <v>109</v>
      </c>
      <c r="AD51" s="4" t="s">
        <v>2135</v>
      </c>
      <c r="AE51" s="4" t="s">
        <v>3390</v>
      </c>
      <c r="AF51" s="4" t="s">
        <v>363</v>
      </c>
      <c r="AG51" s="4" t="s">
        <v>185</v>
      </c>
      <c r="AH51" s="4" t="s">
        <v>3391</v>
      </c>
      <c r="AI51" s="4" t="s">
        <v>3392</v>
      </c>
      <c r="AJ51" s="4" t="s">
        <v>706</v>
      </c>
      <c r="AK51" s="4" t="s">
        <v>185</v>
      </c>
      <c r="AL51" s="4" t="s">
        <v>3393</v>
      </c>
      <c r="AM51" s="4" t="s">
        <v>3394</v>
      </c>
      <c r="AN51" s="4" t="s">
        <v>818</v>
      </c>
      <c r="AO51" s="4" t="s">
        <v>103</v>
      </c>
      <c r="AP51" s="4" t="s">
        <v>3395</v>
      </c>
      <c r="AQ51" s="4" t="s">
        <v>3396</v>
      </c>
      <c r="AR51" s="4" t="s">
        <v>1903</v>
      </c>
      <c r="AS51" s="4" t="s">
        <v>103</v>
      </c>
      <c r="AT51" s="4" t="s">
        <v>3397</v>
      </c>
      <c r="AU51" s="4" t="s">
        <v>3398</v>
      </c>
      <c r="AV51" s="4" t="s">
        <v>363</v>
      </c>
      <c r="AW51" s="4" t="s">
        <v>77</v>
      </c>
    </row>
    <row r="52" spans="1:49" ht="43.2" x14ac:dyDescent="0.3">
      <c r="A52" s="7" t="s">
        <v>2947</v>
      </c>
      <c r="B52" s="4" t="s">
        <v>2407</v>
      </c>
      <c r="C52" s="4" t="s">
        <v>1407</v>
      </c>
      <c r="D52" s="4" t="s">
        <v>818</v>
      </c>
      <c r="E52" s="4" t="s">
        <v>100</v>
      </c>
      <c r="F52" s="4" t="s">
        <v>62</v>
      </c>
      <c r="G52" s="4" t="s">
        <v>62</v>
      </c>
      <c r="H52" s="4" t="s">
        <v>62</v>
      </c>
      <c r="I52" s="4" t="s">
        <v>62</v>
      </c>
      <c r="J52" s="4" t="s">
        <v>2407</v>
      </c>
      <c r="K52" s="4" t="s">
        <v>1407</v>
      </c>
      <c r="L52" s="4" t="s">
        <v>743</v>
      </c>
      <c r="M52" s="4" t="s">
        <v>394</v>
      </c>
      <c r="N52" s="4" t="s">
        <v>2408</v>
      </c>
      <c r="O52" s="4" t="s">
        <v>2409</v>
      </c>
      <c r="P52" s="4" t="s">
        <v>818</v>
      </c>
      <c r="Q52" s="4" t="s">
        <v>84</v>
      </c>
      <c r="R52" s="4" t="s">
        <v>62</v>
      </c>
      <c r="S52" s="4" t="s">
        <v>62</v>
      </c>
      <c r="T52" s="4" t="s">
        <v>62</v>
      </c>
      <c r="U52" s="4" t="s">
        <v>62</v>
      </c>
      <c r="V52" s="4" t="s">
        <v>2408</v>
      </c>
      <c r="W52" s="4" t="s">
        <v>2409</v>
      </c>
      <c r="X52" s="4" t="s">
        <v>219</v>
      </c>
      <c r="Y52" s="4" t="s">
        <v>158</v>
      </c>
      <c r="Z52" s="4" t="s">
        <v>2410</v>
      </c>
      <c r="AA52" s="4" t="s">
        <v>2411</v>
      </c>
      <c r="AB52" s="4" t="s">
        <v>152</v>
      </c>
      <c r="AC52" s="4" t="s">
        <v>109</v>
      </c>
      <c r="AD52" s="4" t="s">
        <v>62</v>
      </c>
      <c r="AE52" s="4" t="s">
        <v>62</v>
      </c>
      <c r="AF52" s="4" t="s">
        <v>62</v>
      </c>
      <c r="AG52" s="4" t="s">
        <v>62</v>
      </c>
      <c r="AH52" s="4" t="s">
        <v>2410</v>
      </c>
      <c r="AI52" s="4" t="s">
        <v>2411</v>
      </c>
      <c r="AJ52" s="4" t="s">
        <v>235</v>
      </c>
      <c r="AK52" s="4" t="s">
        <v>617</v>
      </c>
      <c r="AL52" s="4" t="s">
        <v>2412</v>
      </c>
      <c r="AM52" s="4" t="s">
        <v>2413</v>
      </c>
      <c r="AN52" s="4" t="s">
        <v>818</v>
      </c>
      <c r="AO52" s="4" t="s">
        <v>84</v>
      </c>
      <c r="AP52" s="4" t="s">
        <v>62</v>
      </c>
      <c r="AQ52" s="4" t="s">
        <v>62</v>
      </c>
      <c r="AR52" s="4" t="s">
        <v>62</v>
      </c>
      <c r="AS52" s="4" t="s">
        <v>62</v>
      </c>
      <c r="AT52" s="4" t="s">
        <v>2412</v>
      </c>
      <c r="AU52" s="4" t="s">
        <v>2413</v>
      </c>
      <c r="AV52" s="4" t="s">
        <v>144</v>
      </c>
      <c r="AW52" s="4" t="s">
        <v>109</v>
      </c>
    </row>
  </sheetData>
  <mergeCells count="28">
    <mergeCell ref="AL2:AM2"/>
    <mergeCell ref="AN2:AO2"/>
    <mergeCell ref="AP2:AQ2"/>
    <mergeCell ref="AR2:AS2"/>
    <mergeCell ref="AT2:AU2"/>
    <mergeCell ref="AV2:AW2"/>
    <mergeCell ref="Z2:AA2"/>
    <mergeCell ref="AB2:AC2"/>
    <mergeCell ref="AD2:AE2"/>
    <mergeCell ref="AF2:AG2"/>
    <mergeCell ref="AH2:AI2"/>
    <mergeCell ref="AJ2:AK2"/>
    <mergeCell ref="N2:O2"/>
    <mergeCell ref="P2:Q2"/>
    <mergeCell ref="R2:S2"/>
    <mergeCell ref="T2:U2"/>
    <mergeCell ref="V2:W2"/>
    <mergeCell ref="X2:Y2"/>
    <mergeCell ref="B1:M1"/>
    <mergeCell ref="N1:Y1"/>
    <mergeCell ref="Z1:AK1"/>
    <mergeCell ref="AL1:AW1"/>
    <mergeCell ref="B2:C2"/>
    <mergeCell ref="D2:E2"/>
    <mergeCell ref="F2:G2"/>
    <mergeCell ref="H2:I2"/>
    <mergeCell ref="J2:K2"/>
    <mergeCell ref="L2:M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C478B-77C8-4DDB-833B-E1E156FD90AC}">
  <dimension ref="A1:AW52"/>
  <sheetViews>
    <sheetView workbookViewId="0">
      <selection sqref="A1:AW52"/>
    </sheetView>
  </sheetViews>
  <sheetFormatPr defaultRowHeight="14.4" x14ac:dyDescent="0.3"/>
  <sheetData>
    <row r="1" spans="1:49" x14ac:dyDescent="0.3">
      <c r="A1" s="5" t="s">
        <v>3</v>
      </c>
      <c r="B1" s="11" t="s">
        <v>49</v>
      </c>
      <c r="C1" s="11"/>
      <c r="D1" s="11"/>
      <c r="E1" s="11"/>
      <c r="F1" s="11"/>
      <c r="G1" s="11"/>
      <c r="H1" s="11"/>
      <c r="I1" s="11"/>
      <c r="J1" s="11"/>
      <c r="K1" s="11"/>
      <c r="L1" s="11"/>
      <c r="M1" s="11"/>
      <c r="N1" s="11" t="s">
        <v>50</v>
      </c>
      <c r="O1" s="11"/>
      <c r="P1" s="11"/>
      <c r="Q1" s="11"/>
      <c r="R1" s="11"/>
      <c r="S1" s="11"/>
      <c r="T1" s="11"/>
      <c r="U1" s="11"/>
      <c r="V1" s="11"/>
      <c r="W1" s="11"/>
      <c r="X1" s="11"/>
      <c r="Y1" s="11"/>
      <c r="Z1" s="11" t="s">
        <v>51</v>
      </c>
      <c r="AA1" s="11"/>
      <c r="AB1" s="11"/>
      <c r="AC1" s="11"/>
      <c r="AD1" s="11"/>
      <c r="AE1" s="11"/>
      <c r="AF1" s="11"/>
      <c r="AG1" s="11"/>
      <c r="AH1" s="11"/>
      <c r="AI1" s="11"/>
      <c r="AJ1" s="11"/>
      <c r="AK1" s="11"/>
      <c r="AL1" s="11" t="s">
        <v>52</v>
      </c>
      <c r="AM1" s="11"/>
      <c r="AN1" s="11"/>
      <c r="AO1" s="11"/>
      <c r="AP1" s="11"/>
      <c r="AQ1" s="11"/>
      <c r="AR1" s="11"/>
      <c r="AS1" s="11"/>
      <c r="AT1" s="11"/>
      <c r="AU1" s="11"/>
      <c r="AV1" s="11"/>
      <c r="AW1" s="11"/>
    </row>
    <row r="2" spans="1:49" x14ac:dyDescent="0.3">
      <c r="A2" s="5" t="s">
        <v>3</v>
      </c>
      <c r="B2" s="11" t="s">
        <v>69</v>
      </c>
      <c r="C2" s="11"/>
      <c r="D2" s="11" t="s">
        <v>2489</v>
      </c>
      <c r="E2" s="11"/>
      <c r="F2" s="11" t="s">
        <v>2490</v>
      </c>
      <c r="G2" s="11"/>
      <c r="H2" s="11" t="s">
        <v>2491</v>
      </c>
      <c r="I2" s="11"/>
      <c r="J2" s="11" t="s">
        <v>2492</v>
      </c>
      <c r="K2" s="11"/>
      <c r="L2" s="11" t="s">
        <v>2493</v>
      </c>
      <c r="M2" s="11"/>
      <c r="N2" s="11" t="s">
        <v>69</v>
      </c>
      <c r="O2" s="11"/>
      <c r="P2" s="11" t="s">
        <v>2489</v>
      </c>
      <c r="Q2" s="11"/>
      <c r="R2" s="11" t="s">
        <v>2490</v>
      </c>
      <c r="S2" s="11"/>
      <c r="T2" s="11" t="s">
        <v>2491</v>
      </c>
      <c r="U2" s="11"/>
      <c r="V2" s="11" t="s">
        <v>2492</v>
      </c>
      <c r="W2" s="11"/>
      <c r="X2" s="11" t="s">
        <v>2493</v>
      </c>
      <c r="Y2" s="11"/>
      <c r="Z2" s="11" t="s">
        <v>69</v>
      </c>
      <c r="AA2" s="11"/>
      <c r="AB2" s="11" t="s">
        <v>2489</v>
      </c>
      <c r="AC2" s="11"/>
      <c r="AD2" s="11" t="s">
        <v>2490</v>
      </c>
      <c r="AE2" s="11"/>
      <c r="AF2" s="11" t="s">
        <v>2491</v>
      </c>
      <c r="AG2" s="11"/>
      <c r="AH2" s="11" t="s">
        <v>2492</v>
      </c>
      <c r="AI2" s="11"/>
      <c r="AJ2" s="11" t="s">
        <v>2493</v>
      </c>
      <c r="AK2" s="11"/>
      <c r="AL2" s="11" t="s">
        <v>69</v>
      </c>
      <c r="AM2" s="11"/>
      <c r="AN2" s="11" t="s">
        <v>2489</v>
      </c>
      <c r="AO2" s="11"/>
      <c r="AP2" s="11" t="s">
        <v>2490</v>
      </c>
      <c r="AQ2" s="11"/>
      <c r="AR2" s="11" t="s">
        <v>2491</v>
      </c>
      <c r="AS2" s="11"/>
      <c r="AT2" s="11" t="s">
        <v>2492</v>
      </c>
      <c r="AU2" s="11"/>
      <c r="AV2" s="11" t="s">
        <v>2493</v>
      </c>
      <c r="AW2" s="11"/>
    </row>
    <row r="3" spans="1:49" ht="28.8" x14ac:dyDescent="0.3">
      <c r="A3" s="5" t="s">
        <v>53</v>
      </c>
      <c r="B3" s="5" t="s">
        <v>54</v>
      </c>
      <c r="C3" s="5" t="s">
        <v>55</v>
      </c>
      <c r="D3" s="5" t="s">
        <v>54</v>
      </c>
      <c r="E3" s="5" t="s">
        <v>55</v>
      </c>
      <c r="F3" s="5" t="s">
        <v>54</v>
      </c>
      <c r="G3" s="5" t="s">
        <v>55</v>
      </c>
      <c r="H3" s="5" t="s">
        <v>54</v>
      </c>
      <c r="I3" s="5" t="s">
        <v>55</v>
      </c>
      <c r="J3" s="5" t="s">
        <v>54</v>
      </c>
      <c r="K3" s="5" t="s">
        <v>55</v>
      </c>
      <c r="L3" s="5" t="s">
        <v>54</v>
      </c>
      <c r="M3" s="5" t="s">
        <v>55</v>
      </c>
      <c r="N3" s="5" t="s">
        <v>54</v>
      </c>
      <c r="O3" s="5" t="s">
        <v>55</v>
      </c>
      <c r="P3" s="5" t="s">
        <v>54</v>
      </c>
      <c r="Q3" s="5" t="s">
        <v>55</v>
      </c>
      <c r="R3" s="5" t="s">
        <v>54</v>
      </c>
      <c r="S3" s="5" t="s">
        <v>55</v>
      </c>
      <c r="T3" s="5" t="s">
        <v>54</v>
      </c>
      <c r="U3" s="5" t="s">
        <v>55</v>
      </c>
      <c r="V3" s="5" t="s">
        <v>54</v>
      </c>
      <c r="W3" s="5" t="s">
        <v>55</v>
      </c>
      <c r="X3" s="5" t="s">
        <v>54</v>
      </c>
      <c r="Y3" s="5" t="s">
        <v>55</v>
      </c>
      <c r="Z3" s="5" t="s">
        <v>54</v>
      </c>
      <c r="AA3" s="5" t="s">
        <v>55</v>
      </c>
      <c r="AB3" s="5" t="s">
        <v>54</v>
      </c>
      <c r="AC3" s="5" t="s">
        <v>55</v>
      </c>
      <c r="AD3" s="5" t="s">
        <v>54</v>
      </c>
      <c r="AE3" s="5" t="s">
        <v>55</v>
      </c>
      <c r="AF3" s="5" t="s">
        <v>54</v>
      </c>
      <c r="AG3" s="5" t="s">
        <v>55</v>
      </c>
      <c r="AH3" s="5" t="s">
        <v>54</v>
      </c>
      <c r="AI3" s="5" t="s">
        <v>55</v>
      </c>
      <c r="AJ3" s="5" t="s">
        <v>54</v>
      </c>
      <c r="AK3" s="5" t="s">
        <v>55</v>
      </c>
      <c r="AL3" s="5" t="s">
        <v>54</v>
      </c>
      <c r="AM3" s="5" t="s">
        <v>55</v>
      </c>
      <c r="AN3" s="5" t="s">
        <v>54</v>
      </c>
      <c r="AO3" s="5" t="s">
        <v>55</v>
      </c>
      <c r="AP3" s="5" t="s">
        <v>54</v>
      </c>
      <c r="AQ3" s="5" t="s">
        <v>55</v>
      </c>
      <c r="AR3" s="5" t="s">
        <v>54</v>
      </c>
      <c r="AS3" s="5" t="s">
        <v>55</v>
      </c>
      <c r="AT3" s="5" t="s">
        <v>54</v>
      </c>
      <c r="AU3" s="5" t="s">
        <v>55</v>
      </c>
      <c r="AV3" s="5" t="s">
        <v>54</v>
      </c>
      <c r="AW3" s="5" t="s">
        <v>55</v>
      </c>
    </row>
    <row r="4" spans="1:49" ht="43.2" x14ac:dyDescent="0.3">
      <c r="A4" s="4" t="s">
        <v>69</v>
      </c>
      <c r="B4" s="4" t="s">
        <v>70</v>
      </c>
      <c r="C4" s="4" t="s">
        <v>71</v>
      </c>
      <c r="D4" s="4" t="s">
        <v>70</v>
      </c>
      <c r="E4" s="4" t="s">
        <v>71</v>
      </c>
      <c r="F4" s="4" t="s">
        <v>537</v>
      </c>
      <c r="G4" s="4" t="s">
        <v>538</v>
      </c>
      <c r="H4" s="4" t="s">
        <v>537</v>
      </c>
      <c r="I4" s="4" t="s">
        <v>538</v>
      </c>
      <c r="J4" s="4" t="s">
        <v>550</v>
      </c>
      <c r="K4" s="4" t="s">
        <v>551</v>
      </c>
      <c r="L4" s="4" t="s">
        <v>550</v>
      </c>
      <c r="M4" s="4" t="s">
        <v>551</v>
      </c>
      <c r="N4" s="4" t="s">
        <v>74</v>
      </c>
      <c r="O4" s="4" t="s">
        <v>75</v>
      </c>
      <c r="P4" s="4" t="s">
        <v>74</v>
      </c>
      <c r="Q4" s="4" t="s">
        <v>75</v>
      </c>
      <c r="R4" s="4" t="s">
        <v>540</v>
      </c>
      <c r="S4" s="4" t="s">
        <v>541</v>
      </c>
      <c r="T4" s="4" t="s">
        <v>540</v>
      </c>
      <c r="U4" s="4" t="s">
        <v>541</v>
      </c>
      <c r="V4" s="4" t="s">
        <v>553</v>
      </c>
      <c r="W4" s="4" t="s">
        <v>554</v>
      </c>
      <c r="X4" s="4" t="s">
        <v>553</v>
      </c>
      <c r="Y4" s="4" t="s">
        <v>554</v>
      </c>
      <c r="Z4" s="4" t="s">
        <v>78</v>
      </c>
      <c r="AA4" s="4" t="s">
        <v>79</v>
      </c>
      <c r="AB4" s="4" t="s">
        <v>78</v>
      </c>
      <c r="AC4" s="4" t="s">
        <v>79</v>
      </c>
      <c r="AD4" s="4" t="s">
        <v>543</v>
      </c>
      <c r="AE4" s="4" t="s">
        <v>544</v>
      </c>
      <c r="AF4" s="4" t="s">
        <v>543</v>
      </c>
      <c r="AG4" s="4" t="s">
        <v>544</v>
      </c>
      <c r="AH4" s="4" t="s">
        <v>556</v>
      </c>
      <c r="AI4" s="4" t="s">
        <v>557</v>
      </c>
      <c r="AJ4" s="4" t="s">
        <v>556</v>
      </c>
      <c r="AK4" s="4" t="s">
        <v>557</v>
      </c>
      <c r="AL4" s="4" t="s">
        <v>81</v>
      </c>
      <c r="AM4" s="4" t="s">
        <v>82</v>
      </c>
      <c r="AN4" s="4" t="s">
        <v>81</v>
      </c>
      <c r="AO4" s="4" t="s">
        <v>82</v>
      </c>
      <c r="AP4" s="4" t="s">
        <v>546</v>
      </c>
      <c r="AQ4" s="4" t="s">
        <v>547</v>
      </c>
      <c r="AR4" s="4" t="s">
        <v>546</v>
      </c>
      <c r="AS4" s="4" t="s">
        <v>547</v>
      </c>
      <c r="AT4" s="4" t="s">
        <v>559</v>
      </c>
      <c r="AU4" s="4" t="s">
        <v>560</v>
      </c>
      <c r="AV4" s="4" t="s">
        <v>559</v>
      </c>
      <c r="AW4" s="4" t="s">
        <v>560</v>
      </c>
    </row>
    <row r="5" spans="1:49" ht="216" x14ac:dyDescent="0.3">
      <c r="A5" s="6" t="s">
        <v>3399</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row>
    <row r="6" spans="1:49" ht="57.6" x14ac:dyDescent="0.3">
      <c r="A6" s="7" t="s">
        <v>2495</v>
      </c>
      <c r="B6" s="4" t="s">
        <v>3400</v>
      </c>
      <c r="C6" s="4" t="s">
        <v>3401</v>
      </c>
      <c r="D6" s="4" t="s">
        <v>167</v>
      </c>
      <c r="E6" s="4" t="s">
        <v>109</v>
      </c>
      <c r="F6" s="4" t="s">
        <v>1352</v>
      </c>
      <c r="G6" s="4" t="s">
        <v>3402</v>
      </c>
      <c r="H6" s="4" t="s">
        <v>1330</v>
      </c>
      <c r="I6" s="4" t="s">
        <v>100</v>
      </c>
      <c r="J6" s="4" t="s">
        <v>3403</v>
      </c>
      <c r="K6" s="4" t="s">
        <v>3404</v>
      </c>
      <c r="L6" s="4" t="s">
        <v>1982</v>
      </c>
      <c r="M6" s="4" t="s">
        <v>107</v>
      </c>
      <c r="N6" s="4" t="s">
        <v>3405</v>
      </c>
      <c r="O6" s="4" t="s">
        <v>3406</v>
      </c>
      <c r="P6" s="4" t="s">
        <v>344</v>
      </c>
      <c r="Q6" s="4" t="s">
        <v>84</v>
      </c>
      <c r="R6" s="4" t="s">
        <v>3407</v>
      </c>
      <c r="S6" s="4" t="s">
        <v>3408</v>
      </c>
      <c r="T6" s="4" t="s">
        <v>1330</v>
      </c>
      <c r="U6" s="4" t="s">
        <v>127</v>
      </c>
      <c r="V6" s="4" t="s">
        <v>3409</v>
      </c>
      <c r="W6" s="4" t="s">
        <v>1944</v>
      </c>
      <c r="X6" s="4" t="s">
        <v>389</v>
      </c>
      <c r="Y6" s="4" t="s">
        <v>109</v>
      </c>
      <c r="Z6" s="4" t="s">
        <v>3410</v>
      </c>
      <c r="AA6" s="4" t="s">
        <v>3411</v>
      </c>
      <c r="AB6" s="4" t="s">
        <v>1760</v>
      </c>
      <c r="AC6" s="4" t="s">
        <v>127</v>
      </c>
      <c r="AD6" s="4" t="s">
        <v>3412</v>
      </c>
      <c r="AE6" s="4" t="s">
        <v>3413</v>
      </c>
      <c r="AF6" s="4" t="s">
        <v>373</v>
      </c>
      <c r="AG6" s="4" t="s">
        <v>127</v>
      </c>
      <c r="AH6" s="4" t="s">
        <v>3414</v>
      </c>
      <c r="AI6" s="4" t="s">
        <v>1630</v>
      </c>
      <c r="AJ6" s="4" t="s">
        <v>1414</v>
      </c>
      <c r="AK6" s="4" t="s">
        <v>100</v>
      </c>
      <c r="AL6" s="4" t="s">
        <v>3415</v>
      </c>
      <c r="AM6" s="4" t="s">
        <v>3416</v>
      </c>
      <c r="AN6" s="4" t="s">
        <v>250</v>
      </c>
      <c r="AO6" s="4" t="s">
        <v>103</v>
      </c>
      <c r="AP6" s="4" t="s">
        <v>3417</v>
      </c>
      <c r="AQ6" s="4" t="s">
        <v>3418</v>
      </c>
      <c r="AR6" s="4" t="s">
        <v>240</v>
      </c>
      <c r="AS6" s="4" t="s">
        <v>153</v>
      </c>
      <c r="AT6" s="4" t="s">
        <v>3419</v>
      </c>
      <c r="AU6" s="4" t="s">
        <v>3420</v>
      </c>
      <c r="AV6" s="4" t="s">
        <v>1848</v>
      </c>
      <c r="AW6" s="4" t="s">
        <v>127</v>
      </c>
    </row>
    <row r="7" spans="1:49" ht="57.6" x14ac:dyDescent="0.3">
      <c r="A7" s="7" t="s">
        <v>2515</v>
      </c>
      <c r="B7" s="4" t="s">
        <v>3421</v>
      </c>
      <c r="C7" s="4" t="s">
        <v>3422</v>
      </c>
      <c r="D7" s="4" t="s">
        <v>256</v>
      </c>
      <c r="E7" s="4" t="s">
        <v>127</v>
      </c>
      <c r="F7" s="4" t="s">
        <v>3423</v>
      </c>
      <c r="G7" s="4" t="s">
        <v>3424</v>
      </c>
      <c r="H7" s="4" t="s">
        <v>210</v>
      </c>
      <c r="I7" s="4" t="s">
        <v>127</v>
      </c>
      <c r="J7" s="4" t="s">
        <v>2319</v>
      </c>
      <c r="K7" s="4" t="s">
        <v>3425</v>
      </c>
      <c r="L7" s="4" t="s">
        <v>1848</v>
      </c>
      <c r="M7" s="4" t="s">
        <v>185</v>
      </c>
      <c r="N7" s="4" t="s">
        <v>3426</v>
      </c>
      <c r="O7" s="4" t="s">
        <v>3427</v>
      </c>
      <c r="P7" s="4" t="s">
        <v>250</v>
      </c>
      <c r="Q7" s="4" t="s">
        <v>103</v>
      </c>
      <c r="R7" s="4" t="s">
        <v>3428</v>
      </c>
      <c r="S7" s="4" t="s">
        <v>3429</v>
      </c>
      <c r="T7" s="4" t="s">
        <v>814</v>
      </c>
      <c r="U7" s="4" t="s">
        <v>84</v>
      </c>
      <c r="V7" s="4" t="s">
        <v>3430</v>
      </c>
      <c r="W7" s="4" t="s">
        <v>3431</v>
      </c>
      <c r="X7" s="4" t="s">
        <v>157</v>
      </c>
      <c r="Y7" s="4" t="s">
        <v>77</v>
      </c>
      <c r="Z7" s="4" t="s">
        <v>3432</v>
      </c>
      <c r="AA7" s="4" t="s">
        <v>1934</v>
      </c>
      <c r="AB7" s="4" t="s">
        <v>1510</v>
      </c>
      <c r="AC7" s="4" t="s">
        <v>84</v>
      </c>
      <c r="AD7" s="4" t="s">
        <v>3433</v>
      </c>
      <c r="AE7" s="4" t="s">
        <v>3434</v>
      </c>
      <c r="AF7" s="4" t="s">
        <v>838</v>
      </c>
      <c r="AG7" s="4" t="s">
        <v>127</v>
      </c>
      <c r="AH7" s="4" t="s">
        <v>3435</v>
      </c>
      <c r="AI7" s="4" t="s">
        <v>1043</v>
      </c>
      <c r="AJ7" s="4" t="s">
        <v>265</v>
      </c>
      <c r="AK7" s="4" t="s">
        <v>77</v>
      </c>
      <c r="AL7" s="4" t="s">
        <v>3436</v>
      </c>
      <c r="AM7" s="4" t="s">
        <v>3437</v>
      </c>
      <c r="AN7" s="4" t="s">
        <v>743</v>
      </c>
      <c r="AO7" s="4" t="s">
        <v>153</v>
      </c>
      <c r="AP7" s="4" t="s">
        <v>3438</v>
      </c>
      <c r="AQ7" s="4" t="s">
        <v>3439</v>
      </c>
      <c r="AR7" s="4" t="s">
        <v>782</v>
      </c>
      <c r="AS7" s="4" t="s">
        <v>153</v>
      </c>
      <c r="AT7" s="4" t="s">
        <v>3440</v>
      </c>
      <c r="AU7" s="4" t="s">
        <v>3441</v>
      </c>
      <c r="AV7" s="4" t="s">
        <v>213</v>
      </c>
      <c r="AW7" s="4" t="s">
        <v>127</v>
      </c>
    </row>
    <row r="8" spans="1:49" ht="57.6" x14ac:dyDescent="0.3">
      <c r="A8" s="7" t="s">
        <v>2538</v>
      </c>
      <c r="B8" s="4" t="s">
        <v>3442</v>
      </c>
      <c r="C8" s="4" t="s">
        <v>3443</v>
      </c>
      <c r="D8" s="4" t="s">
        <v>920</v>
      </c>
      <c r="E8" s="4" t="s">
        <v>100</v>
      </c>
      <c r="F8" s="4" t="s">
        <v>3444</v>
      </c>
      <c r="G8" s="4" t="s">
        <v>3445</v>
      </c>
      <c r="H8" s="4" t="s">
        <v>474</v>
      </c>
      <c r="I8" s="4" t="s">
        <v>127</v>
      </c>
      <c r="J8" s="4" t="s">
        <v>3446</v>
      </c>
      <c r="K8" s="4" t="s">
        <v>1289</v>
      </c>
      <c r="L8" s="4" t="s">
        <v>1029</v>
      </c>
      <c r="M8" s="4" t="s">
        <v>117</v>
      </c>
      <c r="N8" s="4" t="s">
        <v>3447</v>
      </c>
      <c r="O8" s="4" t="s">
        <v>3448</v>
      </c>
      <c r="P8" s="4" t="s">
        <v>1620</v>
      </c>
      <c r="Q8" s="4" t="s">
        <v>84</v>
      </c>
      <c r="R8" s="4" t="s">
        <v>3449</v>
      </c>
      <c r="S8" s="4" t="s">
        <v>1391</v>
      </c>
      <c r="T8" s="4" t="s">
        <v>144</v>
      </c>
      <c r="U8" s="4" t="s">
        <v>84</v>
      </c>
      <c r="V8" s="4" t="s">
        <v>3351</v>
      </c>
      <c r="W8" s="4" t="s">
        <v>1063</v>
      </c>
      <c r="X8" s="4" t="s">
        <v>2005</v>
      </c>
      <c r="Y8" s="4" t="s">
        <v>77</v>
      </c>
      <c r="Z8" s="4" t="s">
        <v>3450</v>
      </c>
      <c r="AA8" s="4" t="s">
        <v>1847</v>
      </c>
      <c r="AB8" s="4" t="s">
        <v>1522</v>
      </c>
      <c r="AC8" s="4" t="s">
        <v>127</v>
      </c>
      <c r="AD8" s="4" t="s">
        <v>3451</v>
      </c>
      <c r="AE8" s="4" t="s">
        <v>3092</v>
      </c>
      <c r="AF8" s="4" t="s">
        <v>134</v>
      </c>
      <c r="AG8" s="4" t="s">
        <v>100</v>
      </c>
      <c r="AH8" s="4" t="s">
        <v>3452</v>
      </c>
      <c r="AI8" s="4" t="s">
        <v>3453</v>
      </c>
      <c r="AJ8" s="4" t="s">
        <v>1408</v>
      </c>
      <c r="AK8" s="4" t="s">
        <v>100</v>
      </c>
      <c r="AL8" s="4" t="s">
        <v>3454</v>
      </c>
      <c r="AM8" s="4" t="s">
        <v>3437</v>
      </c>
      <c r="AN8" s="4" t="s">
        <v>1034</v>
      </c>
      <c r="AO8" s="4" t="s">
        <v>153</v>
      </c>
      <c r="AP8" s="4" t="s">
        <v>3455</v>
      </c>
      <c r="AQ8" s="4" t="s">
        <v>3456</v>
      </c>
      <c r="AR8" s="4" t="s">
        <v>814</v>
      </c>
      <c r="AS8" s="4" t="s">
        <v>153</v>
      </c>
      <c r="AT8" s="4" t="s">
        <v>3457</v>
      </c>
      <c r="AU8" s="4" t="s">
        <v>3458</v>
      </c>
      <c r="AV8" s="4" t="s">
        <v>2005</v>
      </c>
      <c r="AW8" s="4" t="s">
        <v>84</v>
      </c>
    </row>
    <row r="9" spans="1:49" ht="57.6" x14ac:dyDescent="0.3">
      <c r="A9" s="7" t="s">
        <v>2561</v>
      </c>
      <c r="B9" s="4" t="s">
        <v>3459</v>
      </c>
      <c r="C9" s="4" t="s">
        <v>3460</v>
      </c>
      <c r="D9" s="4" t="s">
        <v>1510</v>
      </c>
      <c r="E9" s="4" t="s">
        <v>158</v>
      </c>
      <c r="F9" s="4" t="s">
        <v>3461</v>
      </c>
      <c r="G9" s="4" t="s">
        <v>3462</v>
      </c>
      <c r="H9" s="4" t="s">
        <v>360</v>
      </c>
      <c r="I9" s="4" t="s">
        <v>158</v>
      </c>
      <c r="J9" s="4" t="s">
        <v>2529</v>
      </c>
      <c r="K9" s="4" t="s">
        <v>3463</v>
      </c>
      <c r="L9" s="4" t="s">
        <v>1322</v>
      </c>
      <c r="M9" s="4" t="s">
        <v>407</v>
      </c>
      <c r="N9" s="4" t="s">
        <v>3464</v>
      </c>
      <c r="O9" s="4" t="s">
        <v>3411</v>
      </c>
      <c r="P9" s="4" t="s">
        <v>344</v>
      </c>
      <c r="Q9" s="4" t="s">
        <v>84</v>
      </c>
      <c r="R9" s="4" t="s">
        <v>3465</v>
      </c>
      <c r="S9" s="4" t="s">
        <v>3466</v>
      </c>
      <c r="T9" s="4" t="s">
        <v>219</v>
      </c>
      <c r="U9" s="4" t="s">
        <v>84</v>
      </c>
      <c r="V9" s="4" t="s">
        <v>3467</v>
      </c>
      <c r="W9" s="4" t="s">
        <v>3468</v>
      </c>
      <c r="X9" s="4" t="s">
        <v>1029</v>
      </c>
      <c r="Y9" s="4" t="s">
        <v>109</v>
      </c>
      <c r="Z9" s="4" t="s">
        <v>3469</v>
      </c>
      <c r="AA9" s="4" t="s">
        <v>1186</v>
      </c>
      <c r="AB9" s="4" t="s">
        <v>265</v>
      </c>
      <c r="AC9" s="4" t="s">
        <v>127</v>
      </c>
      <c r="AD9" s="4" t="s">
        <v>3470</v>
      </c>
      <c r="AE9" s="4" t="s">
        <v>3471</v>
      </c>
      <c r="AF9" s="4" t="s">
        <v>157</v>
      </c>
      <c r="AG9" s="4" t="s">
        <v>77</v>
      </c>
      <c r="AH9" s="4" t="s">
        <v>3472</v>
      </c>
      <c r="AI9" s="4" t="s">
        <v>3113</v>
      </c>
      <c r="AJ9" s="4" t="s">
        <v>171</v>
      </c>
      <c r="AK9" s="4" t="s">
        <v>109</v>
      </c>
      <c r="AL9" s="4" t="s">
        <v>3473</v>
      </c>
      <c r="AM9" s="4" t="s">
        <v>3474</v>
      </c>
      <c r="AN9" s="4" t="s">
        <v>360</v>
      </c>
      <c r="AO9" s="4" t="s">
        <v>103</v>
      </c>
      <c r="AP9" s="4" t="s">
        <v>3475</v>
      </c>
      <c r="AQ9" s="4" t="s">
        <v>3476</v>
      </c>
      <c r="AR9" s="4" t="s">
        <v>743</v>
      </c>
      <c r="AS9" s="4" t="s">
        <v>103</v>
      </c>
      <c r="AT9" s="4" t="s">
        <v>3477</v>
      </c>
      <c r="AU9" s="4" t="s">
        <v>3478</v>
      </c>
      <c r="AV9" s="4" t="s">
        <v>2934</v>
      </c>
      <c r="AW9" s="4" t="s">
        <v>127</v>
      </c>
    </row>
    <row r="10" spans="1:49" ht="57.6" x14ac:dyDescent="0.3">
      <c r="A10" s="7" t="s">
        <v>2584</v>
      </c>
      <c r="B10" s="4" t="s">
        <v>3479</v>
      </c>
      <c r="C10" s="4" t="s">
        <v>3480</v>
      </c>
      <c r="D10" s="4" t="s">
        <v>191</v>
      </c>
      <c r="E10" s="4" t="s">
        <v>117</v>
      </c>
      <c r="F10" s="4" t="s">
        <v>3481</v>
      </c>
      <c r="G10" s="4" t="s">
        <v>3482</v>
      </c>
      <c r="H10" s="4" t="s">
        <v>213</v>
      </c>
      <c r="I10" s="4" t="s">
        <v>117</v>
      </c>
      <c r="J10" s="4" t="s">
        <v>3483</v>
      </c>
      <c r="K10" s="4" t="s">
        <v>3484</v>
      </c>
      <c r="L10" s="4" t="s">
        <v>3031</v>
      </c>
      <c r="M10" s="4" t="s">
        <v>1382</v>
      </c>
      <c r="N10" s="4" t="s">
        <v>3485</v>
      </c>
      <c r="O10" s="4" t="s">
        <v>3486</v>
      </c>
      <c r="P10" s="4" t="s">
        <v>335</v>
      </c>
      <c r="Q10" s="4" t="s">
        <v>127</v>
      </c>
      <c r="R10" s="4" t="s">
        <v>3487</v>
      </c>
      <c r="S10" s="4" t="s">
        <v>628</v>
      </c>
      <c r="T10" s="4" t="s">
        <v>469</v>
      </c>
      <c r="U10" s="4" t="s">
        <v>127</v>
      </c>
      <c r="V10" s="4" t="s">
        <v>3488</v>
      </c>
      <c r="W10" s="4" t="s">
        <v>530</v>
      </c>
      <c r="X10" s="4" t="s">
        <v>180</v>
      </c>
      <c r="Y10" s="4" t="s">
        <v>109</v>
      </c>
      <c r="Z10" s="4" t="s">
        <v>3489</v>
      </c>
      <c r="AA10" s="4" t="s">
        <v>3490</v>
      </c>
      <c r="AB10" s="4" t="s">
        <v>1760</v>
      </c>
      <c r="AC10" s="4" t="s">
        <v>127</v>
      </c>
      <c r="AD10" s="4" t="s">
        <v>3491</v>
      </c>
      <c r="AE10" s="4" t="s">
        <v>3492</v>
      </c>
      <c r="AF10" s="4" t="s">
        <v>1510</v>
      </c>
      <c r="AG10" s="4" t="s">
        <v>77</v>
      </c>
      <c r="AH10" s="4" t="s">
        <v>3493</v>
      </c>
      <c r="AI10" s="4" t="s">
        <v>3441</v>
      </c>
      <c r="AJ10" s="4" t="s">
        <v>203</v>
      </c>
      <c r="AK10" s="4" t="s">
        <v>109</v>
      </c>
      <c r="AL10" s="4" t="s">
        <v>3494</v>
      </c>
      <c r="AM10" s="4" t="s">
        <v>3495</v>
      </c>
      <c r="AN10" s="4" t="s">
        <v>1620</v>
      </c>
      <c r="AO10" s="4" t="s">
        <v>103</v>
      </c>
      <c r="AP10" s="4" t="s">
        <v>3496</v>
      </c>
      <c r="AQ10" s="4" t="s">
        <v>3497</v>
      </c>
      <c r="AR10" s="4" t="s">
        <v>1330</v>
      </c>
      <c r="AS10" s="4" t="s">
        <v>103</v>
      </c>
      <c r="AT10" s="4" t="s">
        <v>3498</v>
      </c>
      <c r="AU10" s="4" t="s">
        <v>1158</v>
      </c>
      <c r="AV10" s="4" t="s">
        <v>389</v>
      </c>
      <c r="AW10" s="4" t="s">
        <v>127</v>
      </c>
    </row>
    <row r="11" spans="1:49" ht="57.6" x14ac:dyDescent="0.3">
      <c r="A11" s="7" t="s">
        <v>2605</v>
      </c>
      <c r="B11" s="4" t="s">
        <v>3499</v>
      </c>
      <c r="C11" s="4" t="s">
        <v>3500</v>
      </c>
      <c r="D11" s="4" t="s">
        <v>177</v>
      </c>
      <c r="E11" s="4" t="s">
        <v>185</v>
      </c>
      <c r="F11" s="4" t="s">
        <v>3501</v>
      </c>
      <c r="G11" s="4" t="s">
        <v>3502</v>
      </c>
      <c r="H11" s="4" t="s">
        <v>487</v>
      </c>
      <c r="I11" s="4" t="s">
        <v>185</v>
      </c>
      <c r="J11" s="4" t="s">
        <v>3503</v>
      </c>
      <c r="K11" s="4" t="s">
        <v>3504</v>
      </c>
      <c r="L11" s="4" t="s">
        <v>3505</v>
      </c>
      <c r="M11" s="4" t="s">
        <v>1074</v>
      </c>
      <c r="N11" s="4" t="s">
        <v>3506</v>
      </c>
      <c r="O11" s="4" t="s">
        <v>3507</v>
      </c>
      <c r="P11" s="4" t="s">
        <v>629</v>
      </c>
      <c r="Q11" s="4" t="s">
        <v>77</v>
      </c>
      <c r="R11" s="4" t="s">
        <v>3508</v>
      </c>
      <c r="S11" s="4" t="s">
        <v>3509</v>
      </c>
      <c r="T11" s="4" t="s">
        <v>1533</v>
      </c>
      <c r="U11" s="4" t="s">
        <v>100</v>
      </c>
      <c r="V11" s="4" t="s">
        <v>3510</v>
      </c>
      <c r="W11" s="4" t="s">
        <v>1641</v>
      </c>
      <c r="X11" s="4" t="s">
        <v>433</v>
      </c>
      <c r="Y11" s="4" t="s">
        <v>158</v>
      </c>
      <c r="Z11" s="4" t="s">
        <v>3511</v>
      </c>
      <c r="AA11" s="4" t="s">
        <v>3512</v>
      </c>
      <c r="AB11" s="4" t="s">
        <v>450</v>
      </c>
      <c r="AC11" s="4" t="s">
        <v>100</v>
      </c>
      <c r="AD11" s="4" t="s">
        <v>3513</v>
      </c>
      <c r="AE11" s="4" t="s">
        <v>3514</v>
      </c>
      <c r="AF11" s="4" t="s">
        <v>97</v>
      </c>
      <c r="AG11" s="4" t="s">
        <v>100</v>
      </c>
      <c r="AH11" s="4" t="s">
        <v>3515</v>
      </c>
      <c r="AI11" s="4" t="s">
        <v>3516</v>
      </c>
      <c r="AJ11" s="4" t="s">
        <v>460</v>
      </c>
      <c r="AK11" s="4" t="s">
        <v>117</v>
      </c>
      <c r="AL11" s="4" t="s">
        <v>3517</v>
      </c>
      <c r="AM11" s="4" t="s">
        <v>3518</v>
      </c>
      <c r="AN11" s="4" t="s">
        <v>1041</v>
      </c>
      <c r="AO11" s="4" t="s">
        <v>84</v>
      </c>
      <c r="AP11" s="4" t="s">
        <v>3519</v>
      </c>
      <c r="AQ11" s="4" t="s">
        <v>3520</v>
      </c>
      <c r="AR11" s="4" t="s">
        <v>355</v>
      </c>
      <c r="AS11" s="4" t="s">
        <v>84</v>
      </c>
      <c r="AT11" s="4" t="s">
        <v>3521</v>
      </c>
      <c r="AU11" s="4" t="s">
        <v>3522</v>
      </c>
      <c r="AV11" s="4" t="s">
        <v>1720</v>
      </c>
      <c r="AW11" s="4" t="s">
        <v>77</v>
      </c>
    </row>
    <row r="12" spans="1:49" ht="57.6" x14ac:dyDescent="0.3">
      <c r="A12" s="7" t="s">
        <v>2629</v>
      </c>
      <c r="B12" s="4" t="s">
        <v>3523</v>
      </c>
      <c r="C12" s="4" t="s">
        <v>3524</v>
      </c>
      <c r="D12" s="4" t="s">
        <v>2188</v>
      </c>
      <c r="E12" s="4" t="s">
        <v>185</v>
      </c>
      <c r="F12" s="4" t="s">
        <v>3341</v>
      </c>
      <c r="G12" s="4" t="s">
        <v>3525</v>
      </c>
      <c r="H12" s="4" t="s">
        <v>140</v>
      </c>
      <c r="I12" s="4" t="s">
        <v>407</v>
      </c>
      <c r="J12" s="4" t="s">
        <v>3526</v>
      </c>
      <c r="K12" s="4" t="s">
        <v>3527</v>
      </c>
      <c r="L12" s="4" t="s">
        <v>906</v>
      </c>
      <c r="M12" s="4" t="s">
        <v>591</v>
      </c>
      <c r="N12" s="4" t="s">
        <v>3528</v>
      </c>
      <c r="O12" s="4" t="s">
        <v>1299</v>
      </c>
      <c r="P12" s="4" t="s">
        <v>439</v>
      </c>
      <c r="Q12" s="4" t="s">
        <v>100</v>
      </c>
      <c r="R12" s="4" t="s">
        <v>3529</v>
      </c>
      <c r="S12" s="4" t="s">
        <v>551</v>
      </c>
      <c r="T12" s="4" t="s">
        <v>522</v>
      </c>
      <c r="U12" s="4" t="s">
        <v>109</v>
      </c>
      <c r="V12" s="4" t="s">
        <v>3530</v>
      </c>
      <c r="W12" s="4" t="s">
        <v>3531</v>
      </c>
      <c r="X12" s="4" t="s">
        <v>420</v>
      </c>
      <c r="Y12" s="4" t="s">
        <v>73</v>
      </c>
      <c r="Z12" s="4" t="s">
        <v>3532</v>
      </c>
      <c r="AA12" s="4" t="s">
        <v>3533</v>
      </c>
      <c r="AB12" s="4" t="s">
        <v>94</v>
      </c>
      <c r="AC12" s="4" t="s">
        <v>109</v>
      </c>
      <c r="AD12" s="4" t="s">
        <v>3534</v>
      </c>
      <c r="AE12" s="4" t="s">
        <v>3535</v>
      </c>
      <c r="AF12" s="4" t="s">
        <v>88</v>
      </c>
      <c r="AG12" s="4" t="s">
        <v>73</v>
      </c>
      <c r="AH12" s="4" t="s">
        <v>3536</v>
      </c>
      <c r="AI12" s="4" t="s">
        <v>3537</v>
      </c>
      <c r="AJ12" s="4" t="s">
        <v>307</v>
      </c>
      <c r="AK12" s="4" t="s">
        <v>73</v>
      </c>
      <c r="AL12" s="4" t="s">
        <v>3538</v>
      </c>
      <c r="AM12" s="4" t="s">
        <v>1644</v>
      </c>
      <c r="AN12" s="4" t="s">
        <v>291</v>
      </c>
      <c r="AO12" s="4" t="s">
        <v>84</v>
      </c>
      <c r="AP12" s="4" t="s">
        <v>3539</v>
      </c>
      <c r="AQ12" s="4" t="s">
        <v>1998</v>
      </c>
      <c r="AR12" s="4" t="s">
        <v>341</v>
      </c>
      <c r="AS12" s="4" t="s">
        <v>127</v>
      </c>
      <c r="AT12" s="4" t="s">
        <v>3540</v>
      </c>
      <c r="AU12" s="4" t="s">
        <v>3541</v>
      </c>
      <c r="AV12" s="4" t="s">
        <v>864</v>
      </c>
      <c r="AW12" s="4" t="s">
        <v>109</v>
      </c>
    </row>
    <row r="13" spans="1:49" ht="57.6" x14ac:dyDescent="0.3">
      <c r="A13" s="7" t="s">
        <v>2652</v>
      </c>
      <c r="B13" s="4" t="s">
        <v>3542</v>
      </c>
      <c r="C13" s="4" t="s">
        <v>1046</v>
      </c>
      <c r="D13" s="4" t="s">
        <v>416</v>
      </c>
      <c r="E13" s="4" t="s">
        <v>617</v>
      </c>
      <c r="F13" s="4" t="s">
        <v>884</v>
      </c>
      <c r="G13" s="4" t="s">
        <v>3543</v>
      </c>
      <c r="H13" s="4" t="s">
        <v>420</v>
      </c>
      <c r="I13" s="4" t="s">
        <v>591</v>
      </c>
      <c r="J13" s="4" t="s">
        <v>3544</v>
      </c>
      <c r="K13" s="4" t="s">
        <v>3545</v>
      </c>
      <c r="L13" s="4" t="s">
        <v>1566</v>
      </c>
      <c r="M13" s="4" t="s">
        <v>591</v>
      </c>
      <c r="N13" s="4" t="s">
        <v>3546</v>
      </c>
      <c r="O13" s="4" t="s">
        <v>3547</v>
      </c>
      <c r="P13" s="4" t="s">
        <v>1674</v>
      </c>
      <c r="Q13" s="4" t="s">
        <v>100</v>
      </c>
      <c r="R13" s="4" t="s">
        <v>3548</v>
      </c>
      <c r="S13" s="4" t="s">
        <v>3549</v>
      </c>
      <c r="T13" s="4" t="s">
        <v>2907</v>
      </c>
      <c r="U13" s="4" t="s">
        <v>158</v>
      </c>
      <c r="V13" s="4" t="s">
        <v>3550</v>
      </c>
      <c r="W13" s="4" t="s">
        <v>3551</v>
      </c>
      <c r="X13" s="4" t="s">
        <v>2182</v>
      </c>
      <c r="Y13" s="4" t="s">
        <v>117</v>
      </c>
      <c r="Z13" s="4" t="s">
        <v>3552</v>
      </c>
      <c r="AA13" s="4" t="s">
        <v>1927</v>
      </c>
      <c r="AB13" s="4" t="s">
        <v>880</v>
      </c>
      <c r="AC13" s="4" t="s">
        <v>109</v>
      </c>
      <c r="AD13" s="4" t="s">
        <v>3553</v>
      </c>
      <c r="AE13" s="4" t="s">
        <v>3554</v>
      </c>
      <c r="AF13" s="4" t="s">
        <v>3132</v>
      </c>
      <c r="AG13" s="4" t="s">
        <v>73</v>
      </c>
      <c r="AH13" s="4" t="s">
        <v>3555</v>
      </c>
      <c r="AI13" s="4" t="s">
        <v>3232</v>
      </c>
      <c r="AJ13" s="4" t="s">
        <v>275</v>
      </c>
      <c r="AK13" s="4" t="s">
        <v>73</v>
      </c>
      <c r="AL13" s="4" t="s">
        <v>3556</v>
      </c>
      <c r="AM13" s="4" t="s">
        <v>3557</v>
      </c>
      <c r="AN13" s="4" t="s">
        <v>1325</v>
      </c>
      <c r="AO13" s="4" t="s">
        <v>127</v>
      </c>
      <c r="AP13" s="4" t="s">
        <v>3558</v>
      </c>
      <c r="AQ13" s="4" t="s">
        <v>2150</v>
      </c>
      <c r="AR13" s="4" t="s">
        <v>420</v>
      </c>
      <c r="AS13" s="4" t="s">
        <v>127</v>
      </c>
      <c r="AT13" s="4" t="s">
        <v>3559</v>
      </c>
      <c r="AU13" s="4" t="s">
        <v>3560</v>
      </c>
      <c r="AV13" s="4" t="s">
        <v>625</v>
      </c>
      <c r="AW13" s="4" t="s">
        <v>100</v>
      </c>
    </row>
    <row r="14" spans="1:49" ht="57.6" x14ac:dyDescent="0.3">
      <c r="A14" s="7" t="s">
        <v>2679</v>
      </c>
      <c r="B14" s="4" t="s">
        <v>3561</v>
      </c>
      <c r="C14" s="4" t="s">
        <v>639</v>
      </c>
      <c r="D14" s="4" t="s">
        <v>325</v>
      </c>
      <c r="E14" s="4" t="s">
        <v>185</v>
      </c>
      <c r="F14" s="4" t="s">
        <v>3562</v>
      </c>
      <c r="G14" s="4" t="s">
        <v>3563</v>
      </c>
      <c r="H14" s="4" t="s">
        <v>901</v>
      </c>
      <c r="I14" s="4" t="s">
        <v>407</v>
      </c>
      <c r="J14" s="4" t="s">
        <v>3564</v>
      </c>
      <c r="K14" s="4" t="s">
        <v>3074</v>
      </c>
      <c r="L14" s="4" t="s">
        <v>386</v>
      </c>
      <c r="M14" s="4" t="s">
        <v>394</v>
      </c>
      <c r="N14" s="4" t="s">
        <v>3565</v>
      </c>
      <c r="O14" s="4" t="s">
        <v>1852</v>
      </c>
      <c r="P14" s="4" t="s">
        <v>433</v>
      </c>
      <c r="Q14" s="4" t="s">
        <v>109</v>
      </c>
      <c r="R14" s="4" t="s">
        <v>3566</v>
      </c>
      <c r="S14" s="4" t="s">
        <v>3567</v>
      </c>
      <c r="T14" s="4" t="s">
        <v>690</v>
      </c>
      <c r="U14" s="4" t="s">
        <v>158</v>
      </c>
      <c r="V14" s="4" t="s">
        <v>3568</v>
      </c>
      <c r="W14" s="4" t="s">
        <v>3569</v>
      </c>
      <c r="X14" s="4" t="s">
        <v>91</v>
      </c>
      <c r="Y14" s="4" t="s">
        <v>158</v>
      </c>
      <c r="Z14" s="4" t="s">
        <v>3570</v>
      </c>
      <c r="AA14" s="4" t="s">
        <v>290</v>
      </c>
      <c r="AB14" s="4" t="s">
        <v>341</v>
      </c>
      <c r="AC14" s="4" t="s">
        <v>77</v>
      </c>
      <c r="AD14" s="4" t="s">
        <v>3571</v>
      </c>
      <c r="AE14" s="4" t="s">
        <v>3572</v>
      </c>
      <c r="AF14" s="4" t="s">
        <v>1392</v>
      </c>
      <c r="AG14" s="4" t="s">
        <v>158</v>
      </c>
      <c r="AH14" s="4" t="s">
        <v>3573</v>
      </c>
      <c r="AI14" s="4" t="s">
        <v>860</v>
      </c>
      <c r="AJ14" s="4" t="s">
        <v>191</v>
      </c>
      <c r="AK14" s="4" t="s">
        <v>109</v>
      </c>
      <c r="AL14" s="4" t="s">
        <v>3574</v>
      </c>
      <c r="AM14" s="4" t="s">
        <v>3575</v>
      </c>
      <c r="AN14" s="4" t="s">
        <v>310</v>
      </c>
      <c r="AO14" s="4" t="s">
        <v>84</v>
      </c>
      <c r="AP14" s="4" t="s">
        <v>3576</v>
      </c>
      <c r="AQ14" s="4" t="s">
        <v>3577</v>
      </c>
      <c r="AR14" s="4" t="s">
        <v>1589</v>
      </c>
      <c r="AS14" s="4" t="s">
        <v>127</v>
      </c>
      <c r="AT14" s="4" t="s">
        <v>3578</v>
      </c>
      <c r="AU14" s="4" t="s">
        <v>1539</v>
      </c>
      <c r="AV14" s="4" t="s">
        <v>3045</v>
      </c>
      <c r="AW14" s="4" t="s">
        <v>77</v>
      </c>
    </row>
    <row r="15" spans="1:49" ht="57.6" x14ac:dyDescent="0.3">
      <c r="A15" s="7" t="s">
        <v>872</v>
      </c>
      <c r="B15" s="4" t="s">
        <v>3579</v>
      </c>
      <c r="C15" s="4" t="s">
        <v>3364</v>
      </c>
      <c r="D15" s="4" t="s">
        <v>319</v>
      </c>
      <c r="E15" s="4" t="s">
        <v>185</v>
      </c>
      <c r="F15" s="4" t="s">
        <v>3580</v>
      </c>
      <c r="G15" s="4" t="s">
        <v>3460</v>
      </c>
      <c r="H15" s="4" t="s">
        <v>2151</v>
      </c>
      <c r="I15" s="4" t="s">
        <v>394</v>
      </c>
      <c r="J15" s="4" t="s">
        <v>3581</v>
      </c>
      <c r="K15" s="4" t="s">
        <v>3002</v>
      </c>
      <c r="L15" s="4" t="s">
        <v>1108</v>
      </c>
      <c r="M15" s="4" t="s">
        <v>407</v>
      </c>
      <c r="N15" s="4" t="s">
        <v>3582</v>
      </c>
      <c r="O15" s="4" t="s">
        <v>3583</v>
      </c>
      <c r="P15" s="4" t="s">
        <v>2113</v>
      </c>
      <c r="Q15" s="4" t="s">
        <v>77</v>
      </c>
      <c r="R15" s="4" t="s">
        <v>3584</v>
      </c>
      <c r="S15" s="4" t="s">
        <v>3585</v>
      </c>
      <c r="T15" s="4" t="s">
        <v>1587</v>
      </c>
      <c r="U15" s="4" t="s">
        <v>185</v>
      </c>
      <c r="V15" s="4" t="s">
        <v>3586</v>
      </c>
      <c r="W15" s="4" t="s">
        <v>1142</v>
      </c>
      <c r="X15" s="4" t="s">
        <v>180</v>
      </c>
      <c r="Y15" s="4" t="s">
        <v>100</v>
      </c>
      <c r="Z15" s="4" t="s">
        <v>3587</v>
      </c>
      <c r="AA15" s="4" t="s">
        <v>551</v>
      </c>
      <c r="AB15" s="4" t="s">
        <v>97</v>
      </c>
      <c r="AC15" s="4" t="s">
        <v>77</v>
      </c>
      <c r="AD15" s="4" t="s">
        <v>3588</v>
      </c>
      <c r="AE15" s="4" t="s">
        <v>3589</v>
      </c>
      <c r="AF15" s="4" t="s">
        <v>285</v>
      </c>
      <c r="AG15" s="4" t="s">
        <v>185</v>
      </c>
      <c r="AH15" s="4" t="s">
        <v>3590</v>
      </c>
      <c r="AI15" s="4" t="s">
        <v>3591</v>
      </c>
      <c r="AJ15" s="4" t="s">
        <v>338</v>
      </c>
      <c r="AK15" s="4" t="s">
        <v>77</v>
      </c>
      <c r="AL15" s="4" t="s">
        <v>3592</v>
      </c>
      <c r="AM15" s="4" t="s">
        <v>499</v>
      </c>
      <c r="AN15" s="4" t="s">
        <v>420</v>
      </c>
      <c r="AO15" s="4" t="s">
        <v>127</v>
      </c>
      <c r="AP15" s="4" t="s">
        <v>3593</v>
      </c>
      <c r="AQ15" s="4" t="s">
        <v>3594</v>
      </c>
      <c r="AR15" s="4" t="s">
        <v>3595</v>
      </c>
      <c r="AS15" s="4" t="s">
        <v>100</v>
      </c>
      <c r="AT15" s="4" t="s">
        <v>3596</v>
      </c>
      <c r="AU15" s="4" t="s">
        <v>2301</v>
      </c>
      <c r="AV15" s="4" t="s">
        <v>1408</v>
      </c>
      <c r="AW15" s="4" t="s">
        <v>77</v>
      </c>
    </row>
    <row r="16" spans="1:49" ht="43.2" x14ac:dyDescent="0.3">
      <c r="A16" s="7" t="s">
        <v>2724</v>
      </c>
      <c r="B16" s="4" t="s">
        <v>3597</v>
      </c>
      <c r="C16" s="4" t="s">
        <v>3598</v>
      </c>
      <c r="D16" s="4" t="s">
        <v>433</v>
      </c>
      <c r="E16" s="4" t="s">
        <v>158</v>
      </c>
      <c r="F16" s="4" t="s">
        <v>3599</v>
      </c>
      <c r="G16" s="4" t="s">
        <v>3600</v>
      </c>
      <c r="H16" s="4" t="s">
        <v>1894</v>
      </c>
      <c r="I16" s="4" t="s">
        <v>394</v>
      </c>
      <c r="J16" s="4" t="s">
        <v>3601</v>
      </c>
      <c r="K16" s="4" t="s">
        <v>3602</v>
      </c>
      <c r="L16" s="4" t="s">
        <v>474</v>
      </c>
      <c r="M16" s="4" t="s">
        <v>100</v>
      </c>
      <c r="N16" s="4" t="s">
        <v>3603</v>
      </c>
      <c r="O16" s="4" t="s">
        <v>3604</v>
      </c>
      <c r="P16" s="4" t="s">
        <v>632</v>
      </c>
      <c r="Q16" s="4" t="s">
        <v>127</v>
      </c>
      <c r="R16" s="4" t="s">
        <v>3605</v>
      </c>
      <c r="S16" s="4" t="s">
        <v>3606</v>
      </c>
      <c r="T16" s="4" t="s">
        <v>3607</v>
      </c>
      <c r="U16" s="4" t="s">
        <v>158</v>
      </c>
      <c r="V16" s="4" t="s">
        <v>3608</v>
      </c>
      <c r="W16" s="4" t="s">
        <v>239</v>
      </c>
      <c r="X16" s="4" t="s">
        <v>373</v>
      </c>
      <c r="Y16" s="4" t="s">
        <v>127</v>
      </c>
      <c r="Z16" s="4" t="s">
        <v>3609</v>
      </c>
      <c r="AA16" s="4" t="s">
        <v>1847</v>
      </c>
      <c r="AB16" s="4" t="s">
        <v>348</v>
      </c>
      <c r="AC16" s="4" t="s">
        <v>127</v>
      </c>
      <c r="AD16" s="4" t="s">
        <v>3610</v>
      </c>
      <c r="AE16" s="4" t="s">
        <v>1202</v>
      </c>
      <c r="AF16" s="4" t="s">
        <v>2188</v>
      </c>
      <c r="AG16" s="4" t="s">
        <v>158</v>
      </c>
      <c r="AH16" s="4" t="s">
        <v>3611</v>
      </c>
      <c r="AI16" s="4" t="s">
        <v>1249</v>
      </c>
      <c r="AJ16" s="4" t="s">
        <v>366</v>
      </c>
      <c r="AK16" s="4" t="s">
        <v>84</v>
      </c>
      <c r="AL16" s="4" t="s">
        <v>3612</v>
      </c>
      <c r="AM16" s="4" t="s">
        <v>3613</v>
      </c>
      <c r="AN16" s="4" t="s">
        <v>1990</v>
      </c>
      <c r="AO16" s="4" t="s">
        <v>84</v>
      </c>
      <c r="AP16" s="4" t="s">
        <v>3614</v>
      </c>
      <c r="AQ16" s="4" t="s">
        <v>3615</v>
      </c>
      <c r="AR16" s="4" t="s">
        <v>604</v>
      </c>
      <c r="AS16" s="4" t="s">
        <v>77</v>
      </c>
      <c r="AT16" s="4" t="s">
        <v>3616</v>
      </c>
      <c r="AU16" s="4" t="s">
        <v>196</v>
      </c>
      <c r="AV16" s="4" t="s">
        <v>344</v>
      </c>
      <c r="AW16" s="4" t="s">
        <v>84</v>
      </c>
    </row>
    <row r="17" spans="1:49" ht="115.2" x14ac:dyDescent="0.3">
      <c r="A17" s="7" t="s">
        <v>2748</v>
      </c>
      <c r="B17" s="4" t="s">
        <v>3617</v>
      </c>
      <c r="C17" s="4" t="s">
        <v>1905</v>
      </c>
      <c r="D17" s="4" t="s">
        <v>3617</v>
      </c>
      <c r="E17" s="4" t="s">
        <v>1905</v>
      </c>
      <c r="F17" s="4" t="s">
        <v>3618</v>
      </c>
      <c r="G17" s="4" t="s">
        <v>3619</v>
      </c>
      <c r="H17" s="4" t="s">
        <v>3618</v>
      </c>
      <c r="I17" s="4" t="s">
        <v>3619</v>
      </c>
      <c r="J17" s="4" t="s">
        <v>3620</v>
      </c>
      <c r="K17" s="4" t="s">
        <v>3621</v>
      </c>
      <c r="L17" s="4" t="s">
        <v>3620</v>
      </c>
      <c r="M17" s="4" t="s">
        <v>3621</v>
      </c>
      <c r="N17" s="4" t="s">
        <v>3622</v>
      </c>
      <c r="O17" s="4" t="s">
        <v>958</v>
      </c>
      <c r="P17" s="4" t="s">
        <v>3622</v>
      </c>
      <c r="Q17" s="4" t="s">
        <v>958</v>
      </c>
      <c r="R17" s="4" t="s">
        <v>3623</v>
      </c>
      <c r="S17" s="4" t="s">
        <v>551</v>
      </c>
      <c r="T17" s="4" t="s">
        <v>3623</v>
      </c>
      <c r="U17" s="4" t="s">
        <v>551</v>
      </c>
      <c r="V17" s="4" t="s">
        <v>3624</v>
      </c>
      <c r="W17" s="4" t="s">
        <v>3625</v>
      </c>
      <c r="X17" s="4" t="s">
        <v>3624</v>
      </c>
      <c r="Y17" s="4" t="s">
        <v>3625</v>
      </c>
      <c r="Z17" s="4" t="s">
        <v>3626</v>
      </c>
      <c r="AA17" s="4" t="s">
        <v>3627</v>
      </c>
      <c r="AB17" s="4" t="s">
        <v>3626</v>
      </c>
      <c r="AC17" s="4" t="s">
        <v>3627</v>
      </c>
      <c r="AD17" s="4" t="s">
        <v>3628</v>
      </c>
      <c r="AE17" s="4" t="s">
        <v>2296</v>
      </c>
      <c r="AF17" s="4" t="s">
        <v>3628</v>
      </c>
      <c r="AG17" s="4" t="s">
        <v>2296</v>
      </c>
      <c r="AH17" s="4" t="s">
        <v>3629</v>
      </c>
      <c r="AI17" s="4" t="s">
        <v>3598</v>
      </c>
      <c r="AJ17" s="4" t="s">
        <v>3629</v>
      </c>
      <c r="AK17" s="4" t="s">
        <v>3598</v>
      </c>
      <c r="AL17" s="4" t="s">
        <v>3630</v>
      </c>
      <c r="AM17" s="4" t="s">
        <v>3631</v>
      </c>
      <c r="AN17" s="4" t="s">
        <v>3630</v>
      </c>
      <c r="AO17" s="4" t="s">
        <v>3631</v>
      </c>
      <c r="AP17" s="4" t="s">
        <v>3632</v>
      </c>
      <c r="AQ17" s="4" t="s">
        <v>3633</v>
      </c>
      <c r="AR17" s="4" t="s">
        <v>3632</v>
      </c>
      <c r="AS17" s="4" t="s">
        <v>3633</v>
      </c>
      <c r="AT17" s="4" t="s">
        <v>3634</v>
      </c>
      <c r="AU17" s="4" t="s">
        <v>2333</v>
      </c>
      <c r="AV17" s="4" t="s">
        <v>3634</v>
      </c>
      <c r="AW17" s="4" t="s">
        <v>2333</v>
      </c>
    </row>
    <row r="18" spans="1:49" ht="72" x14ac:dyDescent="0.3">
      <c r="A18" s="6" t="s">
        <v>2772</v>
      </c>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row>
    <row r="19" spans="1:49" ht="43.2" x14ac:dyDescent="0.3">
      <c r="A19" s="7" t="s">
        <v>2773</v>
      </c>
      <c r="B19" s="4" t="s">
        <v>3400</v>
      </c>
      <c r="C19" s="4" t="s">
        <v>3413</v>
      </c>
      <c r="D19" s="4" t="s">
        <v>167</v>
      </c>
      <c r="E19" s="4" t="s">
        <v>100</v>
      </c>
      <c r="F19" s="4" t="s">
        <v>3635</v>
      </c>
      <c r="G19" s="4" t="s">
        <v>375</v>
      </c>
      <c r="H19" s="4" t="s">
        <v>1029</v>
      </c>
      <c r="I19" s="4" t="s">
        <v>73</v>
      </c>
      <c r="J19" s="4" t="s">
        <v>3636</v>
      </c>
      <c r="K19" s="4" t="s">
        <v>3637</v>
      </c>
      <c r="L19" s="4" t="s">
        <v>469</v>
      </c>
      <c r="M19" s="4" t="s">
        <v>109</v>
      </c>
      <c r="N19" s="4" t="s">
        <v>3638</v>
      </c>
      <c r="O19" s="4" t="s">
        <v>3639</v>
      </c>
      <c r="P19" s="4" t="s">
        <v>1108</v>
      </c>
      <c r="Q19" s="4" t="s">
        <v>127</v>
      </c>
      <c r="R19" s="4" t="s">
        <v>3640</v>
      </c>
      <c r="S19" s="4" t="s">
        <v>2799</v>
      </c>
      <c r="T19" s="4" t="s">
        <v>203</v>
      </c>
      <c r="U19" s="4" t="s">
        <v>100</v>
      </c>
      <c r="V19" s="4" t="s">
        <v>3641</v>
      </c>
      <c r="W19" s="4" t="s">
        <v>3642</v>
      </c>
      <c r="X19" s="4" t="s">
        <v>247</v>
      </c>
      <c r="Y19" s="4" t="s">
        <v>127</v>
      </c>
      <c r="Z19" s="4" t="s">
        <v>3643</v>
      </c>
      <c r="AA19" s="4" t="s">
        <v>170</v>
      </c>
      <c r="AB19" s="4" t="s">
        <v>174</v>
      </c>
      <c r="AC19" s="4" t="s">
        <v>127</v>
      </c>
      <c r="AD19" s="4" t="s">
        <v>3644</v>
      </c>
      <c r="AE19" s="4" t="s">
        <v>3396</v>
      </c>
      <c r="AF19" s="4" t="s">
        <v>3031</v>
      </c>
      <c r="AG19" s="4" t="s">
        <v>109</v>
      </c>
      <c r="AH19" s="4" t="s">
        <v>3645</v>
      </c>
      <c r="AI19" s="4" t="s">
        <v>3646</v>
      </c>
      <c r="AJ19" s="4" t="s">
        <v>250</v>
      </c>
      <c r="AK19" s="4" t="s">
        <v>84</v>
      </c>
      <c r="AL19" s="4" t="s">
        <v>3647</v>
      </c>
      <c r="AM19" s="4" t="s">
        <v>1158</v>
      </c>
      <c r="AN19" s="4" t="s">
        <v>144</v>
      </c>
      <c r="AO19" s="4" t="s">
        <v>103</v>
      </c>
      <c r="AP19" s="4" t="s">
        <v>3648</v>
      </c>
      <c r="AQ19" s="4" t="s">
        <v>3649</v>
      </c>
      <c r="AR19" s="4" t="s">
        <v>1034</v>
      </c>
      <c r="AS19" s="4" t="s">
        <v>103</v>
      </c>
      <c r="AT19" s="4" t="s">
        <v>3650</v>
      </c>
      <c r="AU19" s="4" t="s">
        <v>3651</v>
      </c>
      <c r="AV19" s="4" t="s">
        <v>247</v>
      </c>
      <c r="AW19" s="4" t="s">
        <v>84</v>
      </c>
    </row>
    <row r="20" spans="1:49" ht="43.2" x14ac:dyDescent="0.3">
      <c r="A20" s="7" t="s">
        <v>2797</v>
      </c>
      <c r="B20" s="4" t="s">
        <v>3652</v>
      </c>
      <c r="C20" s="4" t="s">
        <v>3653</v>
      </c>
      <c r="D20" s="4" t="s">
        <v>1408</v>
      </c>
      <c r="E20" s="4" t="s">
        <v>73</v>
      </c>
      <c r="F20" s="4" t="s">
        <v>3654</v>
      </c>
      <c r="G20" s="4" t="s">
        <v>3655</v>
      </c>
      <c r="H20" s="4" t="s">
        <v>1990</v>
      </c>
      <c r="I20" s="4" t="s">
        <v>664</v>
      </c>
      <c r="J20" s="4" t="s">
        <v>3656</v>
      </c>
      <c r="K20" s="4" t="s">
        <v>3657</v>
      </c>
      <c r="L20" s="4" t="s">
        <v>157</v>
      </c>
      <c r="M20" s="4" t="s">
        <v>185</v>
      </c>
      <c r="N20" s="4" t="s">
        <v>3658</v>
      </c>
      <c r="O20" s="4" t="s">
        <v>3659</v>
      </c>
      <c r="P20" s="4" t="s">
        <v>188</v>
      </c>
      <c r="Q20" s="4" t="s">
        <v>127</v>
      </c>
      <c r="R20" s="4" t="s">
        <v>3660</v>
      </c>
      <c r="S20" s="4" t="s">
        <v>3661</v>
      </c>
      <c r="T20" s="4" t="s">
        <v>858</v>
      </c>
      <c r="U20" s="4" t="s">
        <v>109</v>
      </c>
      <c r="V20" s="4" t="s">
        <v>3662</v>
      </c>
      <c r="W20" s="4" t="s">
        <v>3466</v>
      </c>
      <c r="X20" s="4" t="s">
        <v>706</v>
      </c>
      <c r="Y20" s="4" t="s">
        <v>127</v>
      </c>
      <c r="Z20" s="4" t="s">
        <v>3663</v>
      </c>
      <c r="AA20" s="4" t="s">
        <v>3664</v>
      </c>
      <c r="AB20" s="4" t="s">
        <v>331</v>
      </c>
      <c r="AC20" s="4" t="s">
        <v>77</v>
      </c>
      <c r="AD20" s="4" t="s">
        <v>3665</v>
      </c>
      <c r="AE20" s="4" t="s">
        <v>3666</v>
      </c>
      <c r="AF20" s="4" t="s">
        <v>1704</v>
      </c>
      <c r="AG20" s="4" t="s">
        <v>158</v>
      </c>
      <c r="AH20" s="4" t="s">
        <v>3667</v>
      </c>
      <c r="AI20" s="4" t="s">
        <v>2079</v>
      </c>
      <c r="AJ20" s="4" t="s">
        <v>1620</v>
      </c>
      <c r="AK20" s="4" t="s">
        <v>77</v>
      </c>
      <c r="AL20" s="4" t="s">
        <v>3668</v>
      </c>
      <c r="AM20" s="4" t="s">
        <v>3669</v>
      </c>
      <c r="AN20" s="4" t="s">
        <v>457</v>
      </c>
      <c r="AO20" s="4" t="s">
        <v>103</v>
      </c>
      <c r="AP20" s="4" t="s">
        <v>3670</v>
      </c>
      <c r="AQ20" s="4" t="s">
        <v>193</v>
      </c>
      <c r="AR20" s="4" t="s">
        <v>990</v>
      </c>
      <c r="AS20" s="4" t="s">
        <v>127</v>
      </c>
      <c r="AT20" s="4" t="s">
        <v>3671</v>
      </c>
      <c r="AU20" s="4" t="s">
        <v>1242</v>
      </c>
      <c r="AV20" s="4" t="s">
        <v>144</v>
      </c>
      <c r="AW20" s="4" t="s">
        <v>84</v>
      </c>
    </row>
    <row r="21" spans="1:49" ht="43.2" x14ac:dyDescent="0.3">
      <c r="A21" s="7" t="s">
        <v>2821</v>
      </c>
      <c r="B21" s="4" t="s">
        <v>3672</v>
      </c>
      <c r="C21" s="4" t="s">
        <v>3673</v>
      </c>
      <c r="D21" s="4" t="s">
        <v>413</v>
      </c>
      <c r="E21" s="4" t="s">
        <v>394</v>
      </c>
      <c r="F21" s="4" t="s">
        <v>3674</v>
      </c>
      <c r="G21" s="4" t="s">
        <v>3675</v>
      </c>
      <c r="H21" s="4" t="s">
        <v>262</v>
      </c>
      <c r="I21" s="4" t="s">
        <v>591</v>
      </c>
      <c r="J21" s="4" t="s">
        <v>3676</v>
      </c>
      <c r="K21" s="4" t="s">
        <v>3677</v>
      </c>
      <c r="L21" s="4" t="s">
        <v>1073</v>
      </c>
      <c r="M21" s="4" t="s">
        <v>1144</v>
      </c>
      <c r="N21" s="4" t="s">
        <v>3678</v>
      </c>
      <c r="O21" s="4" t="s">
        <v>3679</v>
      </c>
      <c r="P21" s="4" t="s">
        <v>1381</v>
      </c>
      <c r="Q21" s="4" t="s">
        <v>77</v>
      </c>
      <c r="R21" s="4" t="s">
        <v>3680</v>
      </c>
      <c r="S21" s="4" t="s">
        <v>3681</v>
      </c>
      <c r="T21" s="4" t="s">
        <v>1704</v>
      </c>
      <c r="U21" s="4" t="s">
        <v>100</v>
      </c>
      <c r="V21" s="4" t="s">
        <v>3682</v>
      </c>
      <c r="W21" s="4" t="s">
        <v>2422</v>
      </c>
      <c r="X21" s="4" t="s">
        <v>2113</v>
      </c>
      <c r="Y21" s="4" t="s">
        <v>185</v>
      </c>
      <c r="Z21" s="4" t="s">
        <v>3683</v>
      </c>
      <c r="AA21" s="4" t="s">
        <v>3684</v>
      </c>
      <c r="AB21" s="4" t="s">
        <v>2665</v>
      </c>
      <c r="AC21" s="4" t="s">
        <v>109</v>
      </c>
      <c r="AD21" s="4" t="s">
        <v>3685</v>
      </c>
      <c r="AE21" s="4" t="s">
        <v>857</v>
      </c>
      <c r="AF21" s="4" t="s">
        <v>2165</v>
      </c>
      <c r="AG21" s="4" t="s">
        <v>109</v>
      </c>
      <c r="AH21" s="4" t="s">
        <v>3686</v>
      </c>
      <c r="AI21" s="4" t="s">
        <v>3687</v>
      </c>
      <c r="AJ21" s="4" t="s">
        <v>698</v>
      </c>
      <c r="AK21" s="4" t="s">
        <v>117</v>
      </c>
      <c r="AL21" s="4" t="s">
        <v>3688</v>
      </c>
      <c r="AM21" s="4" t="s">
        <v>3689</v>
      </c>
      <c r="AN21" s="4" t="s">
        <v>522</v>
      </c>
      <c r="AO21" s="4" t="s">
        <v>84</v>
      </c>
      <c r="AP21" s="4" t="s">
        <v>3690</v>
      </c>
      <c r="AQ21" s="4" t="s">
        <v>3583</v>
      </c>
      <c r="AR21" s="4" t="s">
        <v>2188</v>
      </c>
      <c r="AS21" s="4" t="s">
        <v>127</v>
      </c>
      <c r="AT21" s="4" t="s">
        <v>3691</v>
      </c>
      <c r="AU21" s="4" t="s">
        <v>1430</v>
      </c>
      <c r="AV21" s="4" t="s">
        <v>184</v>
      </c>
      <c r="AW21" s="4" t="s">
        <v>77</v>
      </c>
    </row>
    <row r="22" spans="1:49" ht="43.2" x14ac:dyDescent="0.3">
      <c r="A22" s="7" t="s">
        <v>1103</v>
      </c>
      <c r="B22" s="4" t="s">
        <v>3692</v>
      </c>
      <c r="C22" s="4" t="s">
        <v>3693</v>
      </c>
      <c r="D22" s="4" t="s">
        <v>1587</v>
      </c>
      <c r="E22" s="4" t="s">
        <v>394</v>
      </c>
      <c r="F22" s="4" t="s">
        <v>3694</v>
      </c>
      <c r="G22" s="4" t="s">
        <v>334</v>
      </c>
      <c r="H22" s="4" t="s">
        <v>901</v>
      </c>
      <c r="I22" s="4" t="s">
        <v>394</v>
      </c>
      <c r="J22" s="4" t="s">
        <v>3695</v>
      </c>
      <c r="K22" s="4" t="s">
        <v>1913</v>
      </c>
      <c r="L22" s="4" t="s">
        <v>3696</v>
      </c>
      <c r="M22" s="4" t="s">
        <v>1572</v>
      </c>
      <c r="N22" s="4" t="s">
        <v>3697</v>
      </c>
      <c r="O22" s="4" t="s">
        <v>3698</v>
      </c>
      <c r="P22" s="4" t="s">
        <v>285</v>
      </c>
      <c r="Q22" s="4" t="s">
        <v>100</v>
      </c>
      <c r="R22" s="4" t="s">
        <v>3699</v>
      </c>
      <c r="S22" s="4" t="s">
        <v>1296</v>
      </c>
      <c r="T22" s="4" t="s">
        <v>632</v>
      </c>
      <c r="U22" s="4" t="s">
        <v>100</v>
      </c>
      <c r="V22" s="4" t="s">
        <v>3700</v>
      </c>
      <c r="W22" s="4" t="s">
        <v>3701</v>
      </c>
      <c r="X22" s="4" t="s">
        <v>422</v>
      </c>
      <c r="Y22" s="4" t="s">
        <v>73</v>
      </c>
      <c r="Z22" s="4" t="s">
        <v>3702</v>
      </c>
      <c r="AA22" s="4" t="s">
        <v>3703</v>
      </c>
      <c r="AB22" s="4" t="s">
        <v>625</v>
      </c>
      <c r="AC22" s="4" t="s">
        <v>158</v>
      </c>
      <c r="AD22" s="4" t="s">
        <v>3704</v>
      </c>
      <c r="AE22" s="4" t="s">
        <v>2303</v>
      </c>
      <c r="AF22" s="4" t="s">
        <v>301</v>
      </c>
      <c r="AG22" s="4" t="s">
        <v>185</v>
      </c>
      <c r="AH22" s="4" t="s">
        <v>3705</v>
      </c>
      <c r="AI22" s="4" t="s">
        <v>3706</v>
      </c>
      <c r="AJ22" s="4" t="s">
        <v>2250</v>
      </c>
      <c r="AK22" s="4" t="s">
        <v>617</v>
      </c>
      <c r="AL22" s="4" t="s">
        <v>3707</v>
      </c>
      <c r="AM22" s="4" t="s">
        <v>3708</v>
      </c>
      <c r="AN22" s="4" t="s">
        <v>200</v>
      </c>
      <c r="AO22" s="4" t="s">
        <v>84</v>
      </c>
      <c r="AP22" s="4" t="s">
        <v>3709</v>
      </c>
      <c r="AQ22" s="4" t="s">
        <v>3710</v>
      </c>
      <c r="AR22" s="4" t="s">
        <v>487</v>
      </c>
      <c r="AS22" s="4" t="s">
        <v>84</v>
      </c>
      <c r="AT22" s="4" t="s">
        <v>3711</v>
      </c>
      <c r="AU22" s="4" t="s">
        <v>3712</v>
      </c>
      <c r="AV22" s="4" t="s">
        <v>891</v>
      </c>
      <c r="AW22" s="4" t="s">
        <v>100</v>
      </c>
    </row>
    <row r="23" spans="1:49" ht="57.6" x14ac:dyDescent="0.3">
      <c r="A23" s="7" t="s">
        <v>991</v>
      </c>
      <c r="B23" s="4" t="s">
        <v>3713</v>
      </c>
      <c r="C23" s="4" t="s">
        <v>3714</v>
      </c>
      <c r="D23" s="4" t="s">
        <v>1305</v>
      </c>
      <c r="E23" s="4" t="s">
        <v>407</v>
      </c>
      <c r="F23" s="4" t="s">
        <v>3715</v>
      </c>
      <c r="G23" s="4" t="s">
        <v>3716</v>
      </c>
      <c r="H23" s="4" t="s">
        <v>1751</v>
      </c>
      <c r="I23" s="4" t="s">
        <v>107</v>
      </c>
      <c r="J23" s="4" t="s">
        <v>1306</v>
      </c>
      <c r="K23" s="4" t="s">
        <v>1307</v>
      </c>
      <c r="L23" s="4" t="s">
        <v>3717</v>
      </c>
      <c r="M23" s="4" t="s">
        <v>1058</v>
      </c>
      <c r="N23" s="4" t="s">
        <v>3718</v>
      </c>
      <c r="O23" s="4" t="s">
        <v>3719</v>
      </c>
      <c r="P23" s="4" t="s">
        <v>3720</v>
      </c>
      <c r="Q23" s="4" t="s">
        <v>109</v>
      </c>
      <c r="R23" s="4" t="s">
        <v>3721</v>
      </c>
      <c r="S23" s="4" t="s">
        <v>3722</v>
      </c>
      <c r="T23" s="4" t="s">
        <v>2008</v>
      </c>
      <c r="U23" s="4" t="s">
        <v>73</v>
      </c>
      <c r="V23" s="4" t="s">
        <v>1309</v>
      </c>
      <c r="W23" s="4" t="s">
        <v>1146</v>
      </c>
      <c r="X23" s="4" t="s">
        <v>3723</v>
      </c>
      <c r="Y23" s="4" t="s">
        <v>617</v>
      </c>
      <c r="Z23" s="4" t="s">
        <v>3724</v>
      </c>
      <c r="AA23" s="4" t="s">
        <v>3725</v>
      </c>
      <c r="AB23" s="4" t="s">
        <v>3726</v>
      </c>
      <c r="AC23" s="4" t="s">
        <v>185</v>
      </c>
      <c r="AD23" s="4" t="s">
        <v>3727</v>
      </c>
      <c r="AE23" s="4" t="s">
        <v>3728</v>
      </c>
      <c r="AF23" s="4" t="s">
        <v>3729</v>
      </c>
      <c r="AG23" s="4" t="s">
        <v>117</v>
      </c>
      <c r="AH23" s="4" t="s">
        <v>1311</v>
      </c>
      <c r="AI23" s="4" t="s">
        <v>1312</v>
      </c>
      <c r="AJ23" s="4" t="s">
        <v>987</v>
      </c>
      <c r="AK23" s="4" t="s">
        <v>394</v>
      </c>
      <c r="AL23" s="4" t="s">
        <v>3730</v>
      </c>
      <c r="AM23" s="4" t="s">
        <v>3731</v>
      </c>
      <c r="AN23" s="4" t="s">
        <v>3732</v>
      </c>
      <c r="AO23" s="4" t="s">
        <v>127</v>
      </c>
      <c r="AP23" s="4" t="s">
        <v>3733</v>
      </c>
      <c r="AQ23" s="4" t="s">
        <v>2976</v>
      </c>
      <c r="AR23" s="4" t="s">
        <v>984</v>
      </c>
      <c r="AS23" s="4" t="s">
        <v>77</v>
      </c>
      <c r="AT23" s="4" t="s">
        <v>1314</v>
      </c>
      <c r="AU23" s="4" t="s">
        <v>96</v>
      </c>
      <c r="AV23" s="4" t="s">
        <v>3734</v>
      </c>
      <c r="AW23" s="4" t="s">
        <v>158</v>
      </c>
    </row>
    <row r="24" spans="1:49" ht="57.6" x14ac:dyDescent="0.3">
      <c r="A24" s="7" t="s">
        <v>1003</v>
      </c>
      <c r="B24" s="4" t="s">
        <v>3735</v>
      </c>
      <c r="C24" s="4" t="s">
        <v>3008</v>
      </c>
      <c r="D24" s="4" t="s">
        <v>184</v>
      </c>
      <c r="E24" s="4" t="s">
        <v>109</v>
      </c>
      <c r="F24" s="4" t="s">
        <v>3736</v>
      </c>
      <c r="G24" s="4" t="s">
        <v>3737</v>
      </c>
      <c r="H24" s="4" t="s">
        <v>901</v>
      </c>
      <c r="I24" s="4" t="s">
        <v>117</v>
      </c>
      <c r="J24" s="4" t="s">
        <v>1316</v>
      </c>
      <c r="K24" s="4" t="s">
        <v>1095</v>
      </c>
      <c r="L24" s="4" t="s">
        <v>1510</v>
      </c>
      <c r="M24" s="4" t="s">
        <v>73</v>
      </c>
      <c r="N24" s="4" t="s">
        <v>3738</v>
      </c>
      <c r="O24" s="4" t="s">
        <v>3739</v>
      </c>
      <c r="P24" s="4" t="s">
        <v>316</v>
      </c>
      <c r="Q24" s="4" t="s">
        <v>100</v>
      </c>
      <c r="R24" s="4" t="s">
        <v>3740</v>
      </c>
      <c r="S24" s="4" t="s">
        <v>1007</v>
      </c>
      <c r="T24" s="4" t="s">
        <v>1704</v>
      </c>
      <c r="U24" s="4" t="s">
        <v>158</v>
      </c>
      <c r="V24" s="4" t="s">
        <v>1317</v>
      </c>
      <c r="W24" s="4" t="s">
        <v>1318</v>
      </c>
      <c r="X24" s="4" t="s">
        <v>1389</v>
      </c>
      <c r="Y24" s="4" t="s">
        <v>73</v>
      </c>
      <c r="Z24" s="4" t="s">
        <v>3741</v>
      </c>
      <c r="AA24" s="4" t="s">
        <v>1974</v>
      </c>
      <c r="AB24" s="4" t="s">
        <v>203</v>
      </c>
      <c r="AC24" s="4" t="s">
        <v>127</v>
      </c>
      <c r="AD24" s="4" t="s">
        <v>3742</v>
      </c>
      <c r="AE24" s="4" t="s">
        <v>3743</v>
      </c>
      <c r="AF24" s="4" t="s">
        <v>313</v>
      </c>
      <c r="AG24" s="4" t="s">
        <v>100</v>
      </c>
      <c r="AH24" s="4" t="s">
        <v>1320</v>
      </c>
      <c r="AI24" s="4" t="s">
        <v>1321</v>
      </c>
      <c r="AJ24" s="4" t="s">
        <v>355</v>
      </c>
      <c r="AK24" s="4" t="s">
        <v>100</v>
      </c>
      <c r="AL24" s="4" t="s">
        <v>3744</v>
      </c>
      <c r="AM24" s="4" t="s">
        <v>2512</v>
      </c>
      <c r="AN24" s="4" t="s">
        <v>406</v>
      </c>
      <c r="AO24" s="4" t="s">
        <v>84</v>
      </c>
      <c r="AP24" s="4" t="s">
        <v>3745</v>
      </c>
      <c r="AQ24" s="4" t="s">
        <v>3746</v>
      </c>
      <c r="AR24" s="4" t="s">
        <v>2875</v>
      </c>
      <c r="AS24" s="4" t="s">
        <v>77</v>
      </c>
      <c r="AT24" s="4" t="s">
        <v>1323</v>
      </c>
      <c r="AU24" s="4" t="s">
        <v>1324</v>
      </c>
      <c r="AV24" s="4" t="s">
        <v>3132</v>
      </c>
      <c r="AW24" s="4" t="s">
        <v>100</v>
      </c>
    </row>
    <row r="25" spans="1:49" ht="57.6" x14ac:dyDescent="0.3">
      <c r="A25" s="7" t="s">
        <v>1014</v>
      </c>
      <c r="B25" s="4" t="s">
        <v>3747</v>
      </c>
      <c r="C25" s="4" t="s">
        <v>3748</v>
      </c>
      <c r="D25" s="4" t="s">
        <v>161</v>
      </c>
      <c r="E25" s="4" t="s">
        <v>100</v>
      </c>
      <c r="F25" s="4" t="s">
        <v>3501</v>
      </c>
      <c r="G25" s="4" t="s">
        <v>3006</v>
      </c>
      <c r="H25" s="4" t="s">
        <v>487</v>
      </c>
      <c r="I25" s="4" t="s">
        <v>73</v>
      </c>
      <c r="J25" s="4" t="s">
        <v>1326</v>
      </c>
      <c r="K25" s="4" t="s">
        <v>1327</v>
      </c>
      <c r="L25" s="4" t="s">
        <v>818</v>
      </c>
      <c r="M25" s="4" t="s">
        <v>127</v>
      </c>
      <c r="N25" s="4" t="s">
        <v>3749</v>
      </c>
      <c r="O25" s="4" t="s">
        <v>3750</v>
      </c>
      <c r="P25" s="4" t="s">
        <v>167</v>
      </c>
      <c r="Q25" s="4" t="s">
        <v>127</v>
      </c>
      <c r="R25" s="4" t="s">
        <v>3751</v>
      </c>
      <c r="S25" s="4" t="s">
        <v>889</v>
      </c>
      <c r="T25" s="4" t="s">
        <v>164</v>
      </c>
      <c r="U25" s="4" t="s">
        <v>77</v>
      </c>
      <c r="V25" s="4" t="s">
        <v>1328</v>
      </c>
      <c r="W25" s="4" t="s">
        <v>1329</v>
      </c>
      <c r="X25" s="4" t="s">
        <v>706</v>
      </c>
      <c r="Y25" s="4" t="s">
        <v>127</v>
      </c>
      <c r="Z25" s="4" t="s">
        <v>3752</v>
      </c>
      <c r="AA25" s="4" t="s">
        <v>1923</v>
      </c>
      <c r="AB25" s="4" t="s">
        <v>1330</v>
      </c>
      <c r="AC25" s="4" t="s">
        <v>84</v>
      </c>
      <c r="AD25" s="4" t="s">
        <v>3753</v>
      </c>
      <c r="AE25" s="4" t="s">
        <v>3754</v>
      </c>
      <c r="AF25" s="4" t="s">
        <v>213</v>
      </c>
      <c r="AG25" s="4" t="s">
        <v>109</v>
      </c>
      <c r="AH25" s="4" t="s">
        <v>1331</v>
      </c>
      <c r="AI25" s="4" t="s">
        <v>1332</v>
      </c>
      <c r="AJ25" s="4" t="s">
        <v>782</v>
      </c>
      <c r="AK25" s="4" t="s">
        <v>103</v>
      </c>
      <c r="AL25" s="4" t="s">
        <v>3755</v>
      </c>
      <c r="AM25" s="4" t="s">
        <v>3756</v>
      </c>
      <c r="AN25" s="4" t="s">
        <v>632</v>
      </c>
      <c r="AO25" s="4" t="s">
        <v>84</v>
      </c>
      <c r="AP25" s="4" t="s">
        <v>3757</v>
      </c>
      <c r="AQ25" s="4" t="s">
        <v>1905</v>
      </c>
      <c r="AR25" s="4" t="s">
        <v>272</v>
      </c>
      <c r="AS25" s="4" t="s">
        <v>127</v>
      </c>
      <c r="AT25" s="4" t="s">
        <v>1333</v>
      </c>
      <c r="AU25" s="4" t="s">
        <v>1334</v>
      </c>
      <c r="AV25" s="4" t="s">
        <v>134</v>
      </c>
      <c r="AW25" s="4" t="s">
        <v>84</v>
      </c>
    </row>
    <row r="26" spans="1:49" ht="57.6" x14ac:dyDescent="0.3">
      <c r="A26" s="7" t="s">
        <v>1026</v>
      </c>
      <c r="B26" s="4" t="s">
        <v>3758</v>
      </c>
      <c r="C26" s="4" t="s">
        <v>3759</v>
      </c>
      <c r="D26" s="4" t="s">
        <v>706</v>
      </c>
      <c r="E26" s="4" t="s">
        <v>127</v>
      </c>
      <c r="F26" s="4" t="s">
        <v>3760</v>
      </c>
      <c r="G26" s="4" t="s">
        <v>3761</v>
      </c>
      <c r="H26" s="4" t="s">
        <v>344</v>
      </c>
      <c r="I26" s="4" t="s">
        <v>109</v>
      </c>
      <c r="J26" s="4" t="s">
        <v>1335</v>
      </c>
      <c r="K26" s="4" t="s">
        <v>1336</v>
      </c>
      <c r="L26" s="4" t="s">
        <v>803</v>
      </c>
      <c r="M26" s="4" t="s">
        <v>84</v>
      </c>
      <c r="N26" s="4" t="s">
        <v>3762</v>
      </c>
      <c r="O26" s="4" t="s">
        <v>3763</v>
      </c>
      <c r="P26" s="4" t="s">
        <v>366</v>
      </c>
      <c r="Q26" s="4" t="s">
        <v>103</v>
      </c>
      <c r="R26" s="4" t="s">
        <v>3764</v>
      </c>
      <c r="S26" s="4" t="s">
        <v>3765</v>
      </c>
      <c r="T26" s="4" t="s">
        <v>144</v>
      </c>
      <c r="U26" s="4" t="s">
        <v>84</v>
      </c>
      <c r="V26" s="4" t="s">
        <v>1124</v>
      </c>
      <c r="W26" s="4" t="s">
        <v>1337</v>
      </c>
      <c r="X26" s="4" t="s">
        <v>738</v>
      </c>
      <c r="Y26" s="4" t="s">
        <v>153</v>
      </c>
      <c r="Z26" s="4" t="s">
        <v>3766</v>
      </c>
      <c r="AA26" s="4" t="s">
        <v>3767</v>
      </c>
      <c r="AB26" s="4" t="s">
        <v>818</v>
      </c>
      <c r="AC26" s="4" t="s">
        <v>103</v>
      </c>
      <c r="AD26" s="4" t="s">
        <v>3768</v>
      </c>
      <c r="AE26" s="4" t="s">
        <v>1249</v>
      </c>
      <c r="AF26" s="4" t="s">
        <v>474</v>
      </c>
      <c r="AG26" s="4" t="s">
        <v>84</v>
      </c>
      <c r="AH26" s="4" t="s">
        <v>789</v>
      </c>
      <c r="AI26" s="4" t="s">
        <v>1338</v>
      </c>
      <c r="AJ26" s="4" t="s">
        <v>756</v>
      </c>
      <c r="AK26" s="4" t="s">
        <v>153</v>
      </c>
      <c r="AL26" s="4" t="s">
        <v>3769</v>
      </c>
      <c r="AM26" s="4" t="s">
        <v>589</v>
      </c>
      <c r="AN26" s="4" t="s">
        <v>213</v>
      </c>
      <c r="AO26" s="4" t="s">
        <v>103</v>
      </c>
      <c r="AP26" s="4" t="s">
        <v>3770</v>
      </c>
      <c r="AQ26" s="4" t="s">
        <v>3771</v>
      </c>
      <c r="AR26" s="4" t="s">
        <v>265</v>
      </c>
      <c r="AS26" s="4" t="s">
        <v>84</v>
      </c>
      <c r="AT26" s="4" t="s">
        <v>1339</v>
      </c>
      <c r="AU26" s="4" t="s">
        <v>1340</v>
      </c>
      <c r="AV26" s="4" t="s">
        <v>240</v>
      </c>
      <c r="AW26" s="4" t="s">
        <v>103</v>
      </c>
    </row>
    <row r="27" spans="1:49" ht="43.2" x14ac:dyDescent="0.3">
      <c r="A27" s="7" t="s">
        <v>1038</v>
      </c>
      <c r="B27" s="4" t="s">
        <v>3772</v>
      </c>
      <c r="C27" s="4" t="s">
        <v>3773</v>
      </c>
      <c r="D27" s="4" t="s">
        <v>144</v>
      </c>
      <c r="E27" s="4" t="s">
        <v>77</v>
      </c>
      <c r="F27" s="4" t="s">
        <v>3774</v>
      </c>
      <c r="G27" s="4" t="s">
        <v>3775</v>
      </c>
      <c r="H27" s="4" t="s">
        <v>2934</v>
      </c>
      <c r="I27" s="4" t="s">
        <v>185</v>
      </c>
      <c r="J27" s="4" t="s">
        <v>1341</v>
      </c>
      <c r="K27" s="4" t="s">
        <v>1342</v>
      </c>
      <c r="L27" s="4" t="s">
        <v>803</v>
      </c>
      <c r="M27" s="4" t="s">
        <v>84</v>
      </c>
      <c r="N27" s="4" t="s">
        <v>3776</v>
      </c>
      <c r="O27" s="4" t="s">
        <v>628</v>
      </c>
      <c r="P27" s="4" t="s">
        <v>838</v>
      </c>
      <c r="Q27" s="4" t="s">
        <v>103</v>
      </c>
      <c r="R27" s="4" t="s">
        <v>3777</v>
      </c>
      <c r="S27" s="4" t="s">
        <v>3651</v>
      </c>
      <c r="T27" s="4" t="s">
        <v>247</v>
      </c>
      <c r="U27" s="4" t="s">
        <v>84</v>
      </c>
      <c r="V27" s="4" t="s">
        <v>1343</v>
      </c>
      <c r="W27" s="4" t="s">
        <v>1344</v>
      </c>
      <c r="X27" s="4" t="s">
        <v>797</v>
      </c>
      <c r="Y27" s="4" t="s">
        <v>153</v>
      </c>
      <c r="Z27" s="4" t="s">
        <v>3778</v>
      </c>
      <c r="AA27" s="4" t="s">
        <v>3492</v>
      </c>
      <c r="AB27" s="4" t="s">
        <v>363</v>
      </c>
      <c r="AC27" s="4" t="s">
        <v>103</v>
      </c>
      <c r="AD27" s="4" t="s">
        <v>3779</v>
      </c>
      <c r="AE27" s="4" t="s">
        <v>3780</v>
      </c>
      <c r="AF27" s="4" t="s">
        <v>247</v>
      </c>
      <c r="AG27" s="4" t="s">
        <v>77</v>
      </c>
      <c r="AH27" s="4" t="s">
        <v>1345</v>
      </c>
      <c r="AI27" s="4" t="s">
        <v>1346</v>
      </c>
      <c r="AJ27" s="4" t="s">
        <v>756</v>
      </c>
      <c r="AK27" s="4" t="s">
        <v>153</v>
      </c>
      <c r="AL27" s="4" t="s">
        <v>3781</v>
      </c>
      <c r="AM27" s="4" t="s">
        <v>3782</v>
      </c>
      <c r="AN27" s="4" t="s">
        <v>344</v>
      </c>
      <c r="AO27" s="4" t="s">
        <v>103</v>
      </c>
      <c r="AP27" s="4" t="s">
        <v>3783</v>
      </c>
      <c r="AQ27" s="4" t="s">
        <v>3784</v>
      </c>
      <c r="AR27" s="4" t="s">
        <v>1322</v>
      </c>
      <c r="AS27" s="4" t="s">
        <v>84</v>
      </c>
      <c r="AT27" s="4" t="s">
        <v>1347</v>
      </c>
      <c r="AU27" s="4" t="s">
        <v>1348</v>
      </c>
      <c r="AV27" s="4" t="s">
        <v>216</v>
      </c>
      <c r="AW27" s="4" t="s">
        <v>153</v>
      </c>
    </row>
    <row r="28" spans="1:49" ht="43.2" x14ac:dyDescent="0.3">
      <c r="A28" s="7" t="s">
        <v>2947</v>
      </c>
      <c r="B28" s="4" t="s">
        <v>1354</v>
      </c>
      <c r="C28" s="4" t="s">
        <v>1355</v>
      </c>
      <c r="D28" s="4" t="s">
        <v>240</v>
      </c>
      <c r="E28" s="4" t="s">
        <v>127</v>
      </c>
      <c r="F28" s="4" t="s">
        <v>62</v>
      </c>
      <c r="G28" s="4" t="s">
        <v>62</v>
      </c>
      <c r="H28" s="4" t="s">
        <v>62</v>
      </c>
      <c r="I28" s="4" t="s">
        <v>62</v>
      </c>
      <c r="J28" s="4" t="s">
        <v>1354</v>
      </c>
      <c r="K28" s="4" t="s">
        <v>1355</v>
      </c>
      <c r="L28" s="4" t="s">
        <v>256</v>
      </c>
      <c r="M28" s="4" t="s">
        <v>158</v>
      </c>
      <c r="N28" s="4" t="s">
        <v>1356</v>
      </c>
      <c r="O28" s="4" t="s">
        <v>603</v>
      </c>
      <c r="P28" s="4" t="s">
        <v>814</v>
      </c>
      <c r="Q28" s="4" t="s">
        <v>84</v>
      </c>
      <c r="R28" s="4" t="s">
        <v>62</v>
      </c>
      <c r="S28" s="4" t="s">
        <v>62</v>
      </c>
      <c r="T28" s="4" t="s">
        <v>62</v>
      </c>
      <c r="U28" s="4" t="s">
        <v>62</v>
      </c>
      <c r="V28" s="4" t="s">
        <v>1356</v>
      </c>
      <c r="W28" s="4" t="s">
        <v>603</v>
      </c>
      <c r="X28" s="4" t="s">
        <v>2042</v>
      </c>
      <c r="Y28" s="4" t="s">
        <v>100</v>
      </c>
      <c r="Z28" s="4" t="s">
        <v>1357</v>
      </c>
      <c r="AA28" s="4" t="s">
        <v>1358</v>
      </c>
      <c r="AB28" s="4" t="s">
        <v>838</v>
      </c>
      <c r="AC28" s="4" t="s">
        <v>84</v>
      </c>
      <c r="AD28" s="4" t="s">
        <v>62</v>
      </c>
      <c r="AE28" s="4" t="s">
        <v>62</v>
      </c>
      <c r="AF28" s="4" t="s">
        <v>62</v>
      </c>
      <c r="AG28" s="4" t="s">
        <v>62</v>
      </c>
      <c r="AH28" s="4" t="s">
        <v>1357</v>
      </c>
      <c r="AI28" s="4" t="s">
        <v>1358</v>
      </c>
      <c r="AJ28" s="4" t="s">
        <v>243</v>
      </c>
      <c r="AK28" s="4" t="s">
        <v>77</v>
      </c>
      <c r="AL28" s="4" t="s">
        <v>1359</v>
      </c>
      <c r="AM28" s="4" t="s">
        <v>1360</v>
      </c>
      <c r="AN28" s="4" t="s">
        <v>210</v>
      </c>
      <c r="AO28" s="4" t="s">
        <v>153</v>
      </c>
      <c r="AP28" s="4" t="s">
        <v>62</v>
      </c>
      <c r="AQ28" s="4" t="s">
        <v>62</v>
      </c>
      <c r="AR28" s="4" t="s">
        <v>62</v>
      </c>
      <c r="AS28" s="4" t="s">
        <v>62</v>
      </c>
      <c r="AT28" s="4" t="s">
        <v>1359</v>
      </c>
      <c r="AU28" s="4" t="s">
        <v>1360</v>
      </c>
      <c r="AV28" s="4" t="s">
        <v>360</v>
      </c>
      <c r="AW28" s="4" t="s">
        <v>103</v>
      </c>
    </row>
    <row r="29" spans="1:49" ht="57.6" x14ac:dyDescent="0.3">
      <c r="A29" s="7" t="s">
        <v>933</v>
      </c>
      <c r="B29" s="4" t="s">
        <v>3089</v>
      </c>
      <c r="C29" s="4" t="s">
        <v>1123</v>
      </c>
      <c r="D29" s="4" t="s">
        <v>3089</v>
      </c>
      <c r="E29" s="4" t="s">
        <v>1123</v>
      </c>
      <c r="F29" s="4" t="s">
        <v>3785</v>
      </c>
      <c r="G29" s="4" t="s">
        <v>2958</v>
      </c>
      <c r="H29" s="4" t="s">
        <v>3785</v>
      </c>
      <c r="I29" s="4" t="s">
        <v>2958</v>
      </c>
      <c r="J29" s="4" t="s">
        <v>1349</v>
      </c>
      <c r="K29" s="4" t="s">
        <v>1123</v>
      </c>
      <c r="L29" s="4" t="s">
        <v>1349</v>
      </c>
      <c r="M29" s="4" t="s">
        <v>1123</v>
      </c>
      <c r="N29" s="4" t="s">
        <v>3786</v>
      </c>
      <c r="O29" s="4" t="s">
        <v>3787</v>
      </c>
      <c r="P29" s="4" t="s">
        <v>3786</v>
      </c>
      <c r="Q29" s="4" t="s">
        <v>3787</v>
      </c>
      <c r="R29" s="4" t="s">
        <v>3788</v>
      </c>
      <c r="S29" s="4" t="s">
        <v>3789</v>
      </c>
      <c r="T29" s="4" t="s">
        <v>3788</v>
      </c>
      <c r="U29" s="4" t="s">
        <v>3789</v>
      </c>
      <c r="V29" s="4" t="s">
        <v>1350</v>
      </c>
      <c r="W29" s="4" t="s">
        <v>1125</v>
      </c>
      <c r="X29" s="4" t="s">
        <v>1350</v>
      </c>
      <c r="Y29" s="4" t="s">
        <v>1125</v>
      </c>
      <c r="Z29" s="4" t="s">
        <v>3790</v>
      </c>
      <c r="AA29" s="4" t="s">
        <v>3787</v>
      </c>
      <c r="AB29" s="4" t="s">
        <v>3790</v>
      </c>
      <c r="AC29" s="4" t="s">
        <v>3787</v>
      </c>
      <c r="AD29" s="4" t="s">
        <v>3791</v>
      </c>
      <c r="AE29" s="4" t="s">
        <v>3792</v>
      </c>
      <c r="AF29" s="4" t="s">
        <v>3791</v>
      </c>
      <c r="AG29" s="4" t="s">
        <v>3792</v>
      </c>
      <c r="AH29" s="4" t="s">
        <v>1351</v>
      </c>
      <c r="AI29" s="4" t="s">
        <v>1125</v>
      </c>
      <c r="AJ29" s="4" t="s">
        <v>1351</v>
      </c>
      <c r="AK29" s="4" t="s">
        <v>1125</v>
      </c>
      <c r="AL29" s="4" t="s">
        <v>3793</v>
      </c>
      <c r="AM29" s="4" t="s">
        <v>1127</v>
      </c>
      <c r="AN29" s="4" t="s">
        <v>3793</v>
      </c>
      <c r="AO29" s="4" t="s">
        <v>1127</v>
      </c>
      <c r="AP29" s="4" t="s">
        <v>3794</v>
      </c>
      <c r="AQ29" s="4" t="s">
        <v>3795</v>
      </c>
      <c r="AR29" s="4" t="s">
        <v>3794</v>
      </c>
      <c r="AS29" s="4" t="s">
        <v>3795</v>
      </c>
      <c r="AT29" s="4" t="s">
        <v>1352</v>
      </c>
      <c r="AU29" s="4" t="s">
        <v>1127</v>
      </c>
      <c r="AV29" s="4" t="s">
        <v>1352</v>
      </c>
      <c r="AW29" s="4" t="s">
        <v>1127</v>
      </c>
    </row>
    <row r="30" spans="1:49" ht="244.8" x14ac:dyDescent="0.3">
      <c r="A30" s="6" t="s">
        <v>2959</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row>
    <row r="31" spans="1:49" ht="57.6" x14ac:dyDescent="0.3">
      <c r="A31" s="7" t="s">
        <v>2960</v>
      </c>
      <c r="B31" s="4" t="s">
        <v>3796</v>
      </c>
      <c r="C31" s="4" t="s">
        <v>1334</v>
      </c>
      <c r="D31" s="4" t="s">
        <v>88</v>
      </c>
      <c r="E31" s="4" t="s">
        <v>73</v>
      </c>
      <c r="F31" s="4" t="s">
        <v>3797</v>
      </c>
      <c r="G31" s="4" t="s">
        <v>3798</v>
      </c>
      <c r="H31" s="4" t="s">
        <v>923</v>
      </c>
      <c r="I31" s="4" t="s">
        <v>73</v>
      </c>
      <c r="J31" s="4" t="s">
        <v>3799</v>
      </c>
      <c r="K31" s="4" t="s">
        <v>3651</v>
      </c>
      <c r="L31" s="4" t="s">
        <v>609</v>
      </c>
      <c r="M31" s="4" t="s">
        <v>591</v>
      </c>
      <c r="N31" s="4" t="s">
        <v>3800</v>
      </c>
      <c r="O31" s="4" t="s">
        <v>3801</v>
      </c>
      <c r="P31" s="4" t="s">
        <v>272</v>
      </c>
      <c r="Q31" s="4" t="s">
        <v>100</v>
      </c>
      <c r="R31" s="4" t="s">
        <v>3802</v>
      </c>
      <c r="S31" s="4" t="s">
        <v>3803</v>
      </c>
      <c r="T31" s="4" t="s">
        <v>445</v>
      </c>
      <c r="U31" s="4" t="s">
        <v>100</v>
      </c>
      <c r="V31" s="4" t="s">
        <v>3804</v>
      </c>
      <c r="W31" s="4" t="s">
        <v>3239</v>
      </c>
      <c r="X31" s="4" t="s">
        <v>420</v>
      </c>
      <c r="Y31" s="4" t="s">
        <v>73</v>
      </c>
      <c r="Z31" s="4" t="s">
        <v>3805</v>
      </c>
      <c r="AA31" s="4" t="s">
        <v>3806</v>
      </c>
      <c r="AB31" s="4" t="s">
        <v>616</v>
      </c>
      <c r="AC31" s="4" t="s">
        <v>100</v>
      </c>
      <c r="AD31" s="4" t="s">
        <v>3807</v>
      </c>
      <c r="AE31" s="4" t="s">
        <v>3808</v>
      </c>
      <c r="AF31" s="4" t="s">
        <v>272</v>
      </c>
      <c r="AG31" s="4" t="s">
        <v>185</v>
      </c>
      <c r="AH31" s="4" t="s">
        <v>3809</v>
      </c>
      <c r="AI31" s="4" t="s">
        <v>2104</v>
      </c>
      <c r="AJ31" s="4" t="s">
        <v>3810</v>
      </c>
      <c r="AK31" s="4" t="s">
        <v>73</v>
      </c>
      <c r="AL31" s="4" t="s">
        <v>3811</v>
      </c>
      <c r="AM31" s="4" t="s">
        <v>692</v>
      </c>
      <c r="AN31" s="4" t="s">
        <v>313</v>
      </c>
      <c r="AO31" s="4" t="s">
        <v>84</v>
      </c>
      <c r="AP31" s="4" t="s">
        <v>3812</v>
      </c>
      <c r="AQ31" s="4" t="s">
        <v>1847</v>
      </c>
      <c r="AR31" s="4" t="s">
        <v>174</v>
      </c>
      <c r="AS31" s="4" t="s">
        <v>103</v>
      </c>
      <c r="AT31" s="4" t="s">
        <v>3813</v>
      </c>
      <c r="AU31" s="4" t="s">
        <v>3814</v>
      </c>
      <c r="AV31" s="4" t="s">
        <v>416</v>
      </c>
      <c r="AW31" s="4" t="s">
        <v>77</v>
      </c>
    </row>
    <row r="32" spans="1:49" ht="72" x14ac:dyDescent="0.3">
      <c r="A32" s="25" t="s">
        <v>2985</v>
      </c>
      <c r="B32" s="4" t="s">
        <v>3815</v>
      </c>
      <c r="C32" s="4" t="s">
        <v>3816</v>
      </c>
      <c r="D32" s="4" t="s">
        <v>718</v>
      </c>
      <c r="E32" s="4" t="s">
        <v>84</v>
      </c>
      <c r="F32" s="4" t="s">
        <v>1545</v>
      </c>
      <c r="G32" s="4" t="s">
        <v>3817</v>
      </c>
      <c r="H32" s="4" t="s">
        <v>818</v>
      </c>
      <c r="I32" s="4" t="s">
        <v>100</v>
      </c>
      <c r="J32" s="4" t="s">
        <v>739</v>
      </c>
      <c r="K32" s="4" t="s">
        <v>3818</v>
      </c>
      <c r="L32" s="4" t="s">
        <v>763</v>
      </c>
      <c r="M32" s="4" t="s">
        <v>84</v>
      </c>
      <c r="N32" s="4" t="s">
        <v>3819</v>
      </c>
      <c r="O32" s="4" t="s">
        <v>3820</v>
      </c>
      <c r="P32" s="4" t="s">
        <v>1903</v>
      </c>
      <c r="Q32" s="4" t="s">
        <v>153</v>
      </c>
      <c r="R32" s="4" t="s">
        <v>3821</v>
      </c>
      <c r="S32" s="4" t="s">
        <v>3822</v>
      </c>
      <c r="T32" s="4" t="s">
        <v>718</v>
      </c>
      <c r="U32" s="4" t="s">
        <v>103</v>
      </c>
      <c r="V32" s="4" t="s">
        <v>3823</v>
      </c>
      <c r="W32" s="4" t="s">
        <v>3824</v>
      </c>
      <c r="X32" s="4" t="s">
        <v>1903</v>
      </c>
      <c r="Y32" s="4" t="s">
        <v>103</v>
      </c>
      <c r="Z32" s="4" t="s">
        <v>3825</v>
      </c>
      <c r="AA32" s="4" t="s">
        <v>737</v>
      </c>
      <c r="AB32" s="4" t="s">
        <v>1903</v>
      </c>
      <c r="AC32" s="4" t="s">
        <v>153</v>
      </c>
      <c r="AD32" s="4" t="s">
        <v>3826</v>
      </c>
      <c r="AE32" s="4" t="s">
        <v>3827</v>
      </c>
      <c r="AF32" s="4" t="s">
        <v>253</v>
      </c>
      <c r="AG32" s="4" t="s">
        <v>84</v>
      </c>
      <c r="AH32" s="4" t="s">
        <v>3828</v>
      </c>
      <c r="AI32" s="4" t="s">
        <v>3829</v>
      </c>
      <c r="AJ32" s="4" t="s">
        <v>738</v>
      </c>
      <c r="AK32" s="4" t="s">
        <v>153</v>
      </c>
      <c r="AL32" s="4" t="s">
        <v>3830</v>
      </c>
      <c r="AM32" s="4" t="s">
        <v>528</v>
      </c>
      <c r="AN32" s="4" t="s">
        <v>797</v>
      </c>
      <c r="AO32" s="4" t="s">
        <v>153</v>
      </c>
      <c r="AP32" s="4" t="s">
        <v>3831</v>
      </c>
      <c r="AQ32" s="4" t="s">
        <v>3832</v>
      </c>
      <c r="AR32" s="4" t="s">
        <v>738</v>
      </c>
      <c r="AS32" s="4" t="s">
        <v>153</v>
      </c>
      <c r="AT32" s="4" t="s">
        <v>3833</v>
      </c>
      <c r="AU32" s="4" t="s">
        <v>3834</v>
      </c>
      <c r="AV32" s="4" t="s">
        <v>803</v>
      </c>
      <c r="AW32" s="4" t="s">
        <v>153</v>
      </c>
    </row>
    <row r="33" spans="1:49" ht="72" x14ac:dyDescent="0.3">
      <c r="A33" s="25" t="s">
        <v>3007</v>
      </c>
      <c r="B33" s="4" t="s">
        <v>3835</v>
      </c>
      <c r="C33" s="4" t="s">
        <v>3836</v>
      </c>
      <c r="D33" s="4" t="s">
        <v>818</v>
      </c>
      <c r="E33" s="4" t="s">
        <v>84</v>
      </c>
      <c r="F33" s="4" t="s">
        <v>2997</v>
      </c>
      <c r="G33" s="4" t="s">
        <v>3837</v>
      </c>
      <c r="H33" s="4" t="s">
        <v>216</v>
      </c>
      <c r="I33" s="4" t="s">
        <v>127</v>
      </c>
      <c r="J33" s="4" t="s">
        <v>3838</v>
      </c>
      <c r="K33" s="4" t="s">
        <v>3839</v>
      </c>
      <c r="L33" s="4" t="s">
        <v>240</v>
      </c>
      <c r="M33" s="4" t="s">
        <v>127</v>
      </c>
      <c r="N33" s="4" t="s">
        <v>3840</v>
      </c>
      <c r="O33" s="4" t="s">
        <v>322</v>
      </c>
      <c r="P33" s="4" t="s">
        <v>210</v>
      </c>
      <c r="Q33" s="4" t="s">
        <v>103</v>
      </c>
      <c r="R33" s="4" t="s">
        <v>3841</v>
      </c>
      <c r="S33" s="4" t="s">
        <v>3842</v>
      </c>
      <c r="T33" s="4" t="s">
        <v>210</v>
      </c>
      <c r="U33" s="4" t="s">
        <v>84</v>
      </c>
      <c r="V33" s="4" t="s">
        <v>3843</v>
      </c>
      <c r="W33" s="4" t="s">
        <v>3844</v>
      </c>
      <c r="X33" s="4" t="s">
        <v>240</v>
      </c>
      <c r="Y33" s="4" t="s">
        <v>84</v>
      </c>
      <c r="Z33" s="4" t="s">
        <v>3845</v>
      </c>
      <c r="AA33" s="4" t="s">
        <v>3846</v>
      </c>
      <c r="AB33" s="4" t="s">
        <v>814</v>
      </c>
      <c r="AC33" s="4" t="s">
        <v>103</v>
      </c>
      <c r="AD33" s="4" t="s">
        <v>3847</v>
      </c>
      <c r="AE33" s="4" t="s">
        <v>3848</v>
      </c>
      <c r="AF33" s="4" t="s">
        <v>363</v>
      </c>
      <c r="AG33" s="4" t="s">
        <v>84</v>
      </c>
      <c r="AH33" s="4" t="s">
        <v>3849</v>
      </c>
      <c r="AI33" s="4" t="s">
        <v>3850</v>
      </c>
      <c r="AJ33" s="4" t="s">
        <v>814</v>
      </c>
      <c r="AK33" s="4" t="s">
        <v>84</v>
      </c>
      <c r="AL33" s="4" t="s">
        <v>3851</v>
      </c>
      <c r="AM33" s="4" t="s">
        <v>3852</v>
      </c>
      <c r="AN33" s="4" t="s">
        <v>718</v>
      </c>
      <c r="AO33" s="4" t="s">
        <v>153</v>
      </c>
      <c r="AP33" s="4" t="s">
        <v>3853</v>
      </c>
      <c r="AQ33" s="4" t="s">
        <v>3854</v>
      </c>
      <c r="AR33" s="4" t="s">
        <v>763</v>
      </c>
      <c r="AS33" s="4" t="s">
        <v>153</v>
      </c>
      <c r="AT33" s="4" t="s">
        <v>3855</v>
      </c>
      <c r="AU33" s="4" t="s">
        <v>3856</v>
      </c>
      <c r="AV33" s="4" t="s">
        <v>210</v>
      </c>
      <c r="AW33" s="4" t="s">
        <v>103</v>
      </c>
    </row>
    <row r="34" spans="1:49" ht="86.4" x14ac:dyDescent="0.3">
      <c r="A34" s="25" t="s">
        <v>3028</v>
      </c>
      <c r="B34" s="4" t="s">
        <v>3857</v>
      </c>
      <c r="C34" s="4" t="s">
        <v>3858</v>
      </c>
      <c r="D34" s="4" t="s">
        <v>1411</v>
      </c>
      <c r="E34" s="4" t="s">
        <v>185</v>
      </c>
      <c r="F34" s="4" t="s">
        <v>3859</v>
      </c>
      <c r="G34" s="4" t="s">
        <v>3860</v>
      </c>
      <c r="H34" s="4" t="s">
        <v>389</v>
      </c>
      <c r="I34" s="4" t="s">
        <v>185</v>
      </c>
      <c r="J34" s="4" t="s">
        <v>3861</v>
      </c>
      <c r="K34" s="4" t="s">
        <v>3527</v>
      </c>
      <c r="L34" s="4" t="s">
        <v>2089</v>
      </c>
      <c r="M34" s="4" t="s">
        <v>1074</v>
      </c>
      <c r="N34" s="4" t="s">
        <v>3862</v>
      </c>
      <c r="O34" s="4" t="s">
        <v>3863</v>
      </c>
      <c r="P34" s="4" t="s">
        <v>177</v>
      </c>
      <c r="Q34" s="4" t="s">
        <v>77</v>
      </c>
      <c r="R34" s="4" t="s">
        <v>3864</v>
      </c>
      <c r="S34" s="4" t="s">
        <v>3865</v>
      </c>
      <c r="T34" s="4" t="s">
        <v>164</v>
      </c>
      <c r="U34" s="4" t="s">
        <v>77</v>
      </c>
      <c r="V34" s="4" t="s">
        <v>3866</v>
      </c>
      <c r="W34" s="4" t="s">
        <v>3814</v>
      </c>
      <c r="X34" s="4" t="s">
        <v>307</v>
      </c>
      <c r="Y34" s="4" t="s">
        <v>73</v>
      </c>
      <c r="Z34" s="4" t="s">
        <v>3867</v>
      </c>
      <c r="AA34" s="4" t="s">
        <v>3868</v>
      </c>
      <c r="AB34" s="4" t="s">
        <v>262</v>
      </c>
      <c r="AC34" s="4" t="s">
        <v>100</v>
      </c>
      <c r="AD34" s="4" t="s">
        <v>3869</v>
      </c>
      <c r="AE34" s="4" t="s">
        <v>958</v>
      </c>
      <c r="AF34" s="4" t="s">
        <v>386</v>
      </c>
      <c r="AG34" s="4" t="s">
        <v>158</v>
      </c>
      <c r="AH34" s="4" t="s">
        <v>3870</v>
      </c>
      <c r="AI34" s="4" t="s">
        <v>3871</v>
      </c>
      <c r="AJ34" s="4" t="s">
        <v>1798</v>
      </c>
      <c r="AK34" s="4" t="s">
        <v>73</v>
      </c>
      <c r="AL34" s="4" t="s">
        <v>3872</v>
      </c>
      <c r="AM34" s="4" t="s">
        <v>3873</v>
      </c>
      <c r="AN34" s="4" t="s">
        <v>445</v>
      </c>
      <c r="AO34" s="4" t="s">
        <v>84</v>
      </c>
      <c r="AP34" s="4" t="s">
        <v>3874</v>
      </c>
      <c r="AQ34" s="4" t="s">
        <v>1216</v>
      </c>
      <c r="AR34" s="4" t="s">
        <v>134</v>
      </c>
      <c r="AS34" s="4" t="s">
        <v>103</v>
      </c>
      <c r="AT34" s="4" t="s">
        <v>3875</v>
      </c>
      <c r="AU34" s="4" t="s">
        <v>237</v>
      </c>
      <c r="AV34" s="4" t="s">
        <v>288</v>
      </c>
      <c r="AW34" s="4" t="s">
        <v>77</v>
      </c>
    </row>
    <row r="35" spans="1:49" ht="57.6" x14ac:dyDescent="0.3">
      <c r="A35" s="7" t="s">
        <v>3053</v>
      </c>
      <c r="B35" s="4" t="s">
        <v>3876</v>
      </c>
      <c r="C35" s="4" t="s">
        <v>2575</v>
      </c>
      <c r="D35" s="4" t="s">
        <v>1566</v>
      </c>
      <c r="E35" s="4" t="s">
        <v>407</v>
      </c>
      <c r="F35" s="4" t="s">
        <v>3877</v>
      </c>
      <c r="G35" s="4" t="s">
        <v>68</v>
      </c>
      <c r="H35" s="4" t="s">
        <v>1411</v>
      </c>
      <c r="I35" s="4" t="s">
        <v>107</v>
      </c>
      <c r="J35" s="4" t="s">
        <v>3878</v>
      </c>
      <c r="K35" s="4" t="s">
        <v>2850</v>
      </c>
      <c r="L35" s="4" t="s">
        <v>1728</v>
      </c>
      <c r="M35" s="4" t="s">
        <v>1572</v>
      </c>
      <c r="N35" s="4" t="s">
        <v>3879</v>
      </c>
      <c r="O35" s="4" t="s">
        <v>3880</v>
      </c>
      <c r="P35" s="4" t="s">
        <v>94</v>
      </c>
      <c r="Q35" s="4" t="s">
        <v>100</v>
      </c>
      <c r="R35" s="4" t="s">
        <v>3881</v>
      </c>
      <c r="S35" s="4" t="s">
        <v>2093</v>
      </c>
      <c r="T35" s="4" t="s">
        <v>140</v>
      </c>
      <c r="U35" s="4" t="s">
        <v>109</v>
      </c>
      <c r="V35" s="4" t="s">
        <v>3882</v>
      </c>
      <c r="W35" s="4" t="s">
        <v>3883</v>
      </c>
      <c r="X35" s="4" t="s">
        <v>298</v>
      </c>
      <c r="Y35" s="4" t="s">
        <v>117</v>
      </c>
      <c r="Z35" s="4" t="s">
        <v>3884</v>
      </c>
      <c r="AA35" s="4" t="s">
        <v>2825</v>
      </c>
      <c r="AB35" s="4" t="s">
        <v>1587</v>
      </c>
      <c r="AC35" s="4" t="s">
        <v>100</v>
      </c>
      <c r="AD35" s="4" t="s">
        <v>3885</v>
      </c>
      <c r="AE35" s="4" t="s">
        <v>3886</v>
      </c>
      <c r="AF35" s="4" t="s">
        <v>2188</v>
      </c>
      <c r="AG35" s="4" t="s">
        <v>158</v>
      </c>
      <c r="AH35" s="4" t="s">
        <v>3887</v>
      </c>
      <c r="AI35" s="4" t="s">
        <v>3888</v>
      </c>
      <c r="AJ35" s="4" t="s">
        <v>2097</v>
      </c>
      <c r="AK35" s="4" t="s">
        <v>617</v>
      </c>
      <c r="AL35" s="4" t="s">
        <v>3889</v>
      </c>
      <c r="AM35" s="4" t="s">
        <v>3890</v>
      </c>
      <c r="AN35" s="4" t="s">
        <v>319</v>
      </c>
      <c r="AO35" s="4" t="s">
        <v>84</v>
      </c>
      <c r="AP35" s="4" t="s">
        <v>3891</v>
      </c>
      <c r="AQ35" s="4" t="s">
        <v>3892</v>
      </c>
      <c r="AR35" s="4" t="s">
        <v>923</v>
      </c>
      <c r="AS35" s="4" t="s">
        <v>127</v>
      </c>
      <c r="AT35" s="4" t="s">
        <v>3893</v>
      </c>
      <c r="AU35" s="4" t="s">
        <v>3894</v>
      </c>
      <c r="AV35" s="4" t="s">
        <v>519</v>
      </c>
      <c r="AW35" s="4" t="s">
        <v>100</v>
      </c>
    </row>
    <row r="36" spans="1:49" ht="72" x14ac:dyDescent="0.3">
      <c r="A36" s="25" t="s">
        <v>2985</v>
      </c>
      <c r="B36" s="4" t="s">
        <v>3895</v>
      </c>
      <c r="C36" s="4" t="s">
        <v>3896</v>
      </c>
      <c r="D36" s="4" t="s">
        <v>363</v>
      </c>
      <c r="E36" s="4" t="s">
        <v>84</v>
      </c>
      <c r="F36" s="4" t="s">
        <v>3897</v>
      </c>
      <c r="G36" s="4" t="s">
        <v>3898</v>
      </c>
      <c r="H36" s="4" t="s">
        <v>149</v>
      </c>
      <c r="I36" s="4" t="s">
        <v>77</v>
      </c>
      <c r="J36" s="4" t="s">
        <v>3899</v>
      </c>
      <c r="K36" s="4" t="s">
        <v>3900</v>
      </c>
      <c r="L36" s="4" t="s">
        <v>782</v>
      </c>
      <c r="M36" s="4" t="s">
        <v>127</v>
      </c>
      <c r="N36" s="4" t="s">
        <v>3901</v>
      </c>
      <c r="O36" s="4" t="s">
        <v>3902</v>
      </c>
      <c r="P36" s="4" t="s">
        <v>838</v>
      </c>
      <c r="Q36" s="4" t="s">
        <v>103</v>
      </c>
      <c r="R36" s="4" t="s">
        <v>3903</v>
      </c>
      <c r="S36" s="4" t="s">
        <v>3476</v>
      </c>
      <c r="T36" s="4" t="s">
        <v>256</v>
      </c>
      <c r="U36" s="4" t="s">
        <v>127</v>
      </c>
      <c r="V36" s="4" t="s">
        <v>3904</v>
      </c>
      <c r="W36" s="4" t="s">
        <v>3905</v>
      </c>
      <c r="X36" s="4" t="s">
        <v>763</v>
      </c>
      <c r="Y36" s="4" t="s">
        <v>103</v>
      </c>
      <c r="Z36" s="4" t="s">
        <v>3906</v>
      </c>
      <c r="AA36" s="4" t="s">
        <v>3907</v>
      </c>
      <c r="AB36" s="4" t="s">
        <v>743</v>
      </c>
      <c r="AC36" s="4" t="s">
        <v>103</v>
      </c>
      <c r="AD36" s="4" t="s">
        <v>3908</v>
      </c>
      <c r="AE36" s="4" t="s">
        <v>1119</v>
      </c>
      <c r="AF36" s="4" t="s">
        <v>1979</v>
      </c>
      <c r="AG36" s="4" t="s">
        <v>77</v>
      </c>
      <c r="AH36" s="4" t="s">
        <v>3909</v>
      </c>
      <c r="AI36" s="4" t="s">
        <v>3910</v>
      </c>
      <c r="AJ36" s="4" t="s">
        <v>763</v>
      </c>
      <c r="AK36" s="4" t="s">
        <v>103</v>
      </c>
      <c r="AL36" s="4" t="s">
        <v>3911</v>
      </c>
      <c r="AM36" s="4" t="s">
        <v>148</v>
      </c>
      <c r="AN36" s="4" t="s">
        <v>210</v>
      </c>
      <c r="AO36" s="4" t="s">
        <v>153</v>
      </c>
      <c r="AP36" s="4" t="s">
        <v>3912</v>
      </c>
      <c r="AQ36" s="4" t="s">
        <v>918</v>
      </c>
      <c r="AR36" s="4" t="s">
        <v>363</v>
      </c>
      <c r="AS36" s="4" t="s">
        <v>153</v>
      </c>
      <c r="AT36" s="4" t="s">
        <v>3913</v>
      </c>
      <c r="AU36" s="4" t="s">
        <v>2327</v>
      </c>
      <c r="AV36" s="4" t="s">
        <v>803</v>
      </c>
      <c r="AW36" s="4" t="s">
        <v>153</v>
      </c>
    </row>
    <row r="37" spans="1:49" ht="72" x14ac:dyDescent="0.3">
      <c r="A37" s="25" t="s">
        <v>3007</v>
      </c>
      <c r="B37" s="4" t="s">
        <v>3914</v>
      </c>
      <c r="C37" s="4" t="s">
        <v>3915</v>
      </c>
      <c r="D37" s="4" t="s">
        <v>469</v>
      </c>
      <c r="E37" s="4" t="s">
        <v>158</v>
      </c>
      <c r="F37" s="4" t="s">
        <v>3916</v>
      </c>
      <c r="G37" s="4" t="s">
        <v>3917</v>
      </c>
      <c r="H37" s="4" t="s">
        <v>247</v>
      </c>
      <c r="I37" s="4" t="s">
        <v>117</v>
      </c>
      <c r="J37" s="4" t="s">
        <v>3918</v>
      </c>
      <c r="K37" s="4" t="s">
        <v>3919</v>
      </c>
      <c r="L37" s="4" t="s">
        <v>920</v>
      </c>
      <c r="M37" s="4" t="s">
        <v>117</v>
      </c>
      <c r="N37" s="4" t="s">
        <v>3920</v>
      </c>
      <c r="O37" s="4" t="s">
        <v>3362</v>
      </c>
      <c r="P37" s="4" t="s">
        <v>474</v>
      </c>
      <c r="Q37" s="4" t="s">
        <v>103</v>
      </c>
      <c r="R37" s="4" t="s">
        <v>3921</v>
      </c>
      <c r="S37" s="4" t="s">
        <v>3922</v>
      </c>
      <c r="T37" s="4" t="s">
        <v>152</v>
      </c>
      <c r="U37" s="4" t="s">
        <v>84</v>
      </c>
      <c r="V37" s="4" t="s">
        <v>927</v>
      </c>
      <c r="W37" s="4" t="s">
        <v>3856</v>
      </c>
      <c r="X37" s="4" t="s">
        <v>366</v>
      </c>
      <c r="Y37" s="4" t="s">
        <v>84</v>
      </c>
      <c r="Z37" s="4" t="s">
        <v>3923</v>
      </c>
      <c r="AA37" s="4" t="s">
        <v>3924</v>
      </c>
      <c r="AB37" s="4" t="s">
        <v>144</v>
      </c>
      <c r="AC37" s="4" t="s">
        <v>84</v>
      </c>
      <c r="AD37" s="4" t="s">
        <v>3925</v>
      </c>
      <c r="AE37" s="4" t="s">
        <v>3926</v>
      </c>
      <c r="AF37" s="4" t="s">
        <v>250</v>
      </c>
      <c r="AG37" s="4" t="s">
        <v>127</v>
      </c>
      <c r="AH37" s="4" t="s">
        <v>3927</v>
      </c>
      <c r="AI37" s="4" t="s">
        <v>3928</v>
      </c>
      <c r="AJ37" s="4" t="s">
        <v>247</v>
      </c>
      <c r="AK37" s="4" t="s">
        <v>77</v>
      </c>
      <c r="AL37" s="4" t="s">
        <v>3929</v>
      </c>
      <c r="AM37" s="4" t="s">
        <v>885</v>
      </c>
      <c r="AN37" s="4" t="s">
        <v>814</v>
      </c>
      <c r="AO37" s="4" t="s">
        <v>153</v>
      </c>
      <c r="AP37" s="4" t="s">
        <v>3930</v>
      </c>
      <c r="AQ37" s="4" t="s">
        <v>3471</v>
      </c>
      <c r="AR37" s="4" t="s">
        <v>814</v>
      </c>
      <c r="AS37" s="4" t="s">
        <v>153</v>
      </c>
      <c r="AT37" s="4" t="s">
        <v>3931</v>
      </c>
      <c r="AU37" s="4" t="s">
        <v>3932</v>
      </c>
      <c r="AV37" s="4" t="s">
        <v>240</v>
      </c>
      <c r="AW37" s="4" t="s">
        <v>103</v>
      </c>
    </row>
    <row r="38" spans="1:49" ht="86.4" x14ac:dyDescent="0.3">
      <c r="A38" s="25" t="s">
        <v>3028</v>
      </c>
      <c r="B38" s="4" t="s">
        <v>3933</v>
      </c>
      <c r="C38" s="4" t="s">
        <v>3934</v>
      </c>
      <c r="D38" s="4" t="s">
        <v>319</v>
      </c>
      <c r="E38" s="4" t="s">
        <v>617</v>
      </c>
      <c r="F38" s="4" t="s">
        <v>3935</v>
      </c>
      <c r="G38" s="4" t="s">
        <v>928</v>
      </c>
      <c r="H38" s="4" t="s">
        <v>1108</v>
      </c>
      <c r="I38" s="4" t="s">
        <v>73</v>
      </c>
      <c r="J38" s="4" t="s">
        <v>3936</v>
      </c>
      <c r="K38" s="4" t="s">
        <v>3420</v>
      </c>
      <c r="L38" s="4" t="s">
        <v>620</v>
      </c>
      <c r="M38" s="4" t="s">
        <v>1572</v>
      </c>
      <c r="N38" s="4" t="s">
        <v>3937</v>
      </c>
      <c r="O38" s="4" t="s">
        <v>3703</v>
      </c>
      <c r="P38" s="4" t="s">
        <v>197</v>
      </c>
      <c r="Q38" s="4" t="s">
        <v>100</v>
      </c>
      <c r="R38" s="4" t="s">
        <v>3938</v>
      </c>
      <c r="S38" s="4" t="s">
        <v>644</v>
      </c>
      <c r="T38" s="4" t="s">
        <v>174</v>
      </c>
      <c r="U38" s="4" t="s">
        <v>100</v>
      </c>
      <c r="V38" s="4" t="s">
        <v>3939</v>
      </c>
      <c r="W38" s="4" t="s">
        <v>3531</v>
      </c>
      <c r="X38" s="4" t="s">
        <v>864</v>
      </c>
      <c r="Y38" s="4" t="s">
        <v>117</v>
      </c>
      <c r="Z38" s="4" t="s">
        <v>3940</v>
      </c>
      <c r="AA38" s="4" t="s">
        <v>3941</v>
      </c>
      <c r="AB38" s="4" t="s">
        <v>268</v>
      </c>
      <c r="AC38" s="4" t="s">
        <v>100</v>
      </c>
      <c r="AD38" s="4" t="s">
        <v>3942</v>
      </c>
      <c r="AE38" s="4" t="s">
        <v>148</v>
      </c>
      <c r="AF38" s="4" t="s">
        <v>265</v>
      </c>
      <c r="AG38" s="4" t="s">
        <v>100</v>
      </c>
      <c r="AH38" s="4" t="s">
        <v>3943</v>
      </c>
      <c r="AI38" s="4" t="s">
        <v>3944</v>
      </c>
      <c r="AJ38" s="4" t="s">
        <v>304</v>
      </c>
      <c r="AK38" s="4" t="s">
        <v>117</v>
      </c>
      <c r="AL38" s="4" t="s">
        <v>3945</v>
      </c>
      <c r="AM38" s="4" t="s">
        <v>2726</v>
      </c>
      <c r="AN38" s="4" t="s">
        <v>1608</v>
      </c>
      <c r="AO38" s="4" t="s">
        <v>84</v>
      </c>
      <c r="AP38" s="4" t="s">
        <v>3946</v>
      </c>
      <c r="AQ38" s="4" t="s">
        <v>2581</v>
      </c>
      <c r="AR38" s="4" t="s">
        <v>137</v>
      </c>
      <c r="AS38" s="4" t="s">
        <v>84</v>
      </c>
      <c r="AT38" s="4" t="s">
        <v>3947</v>
      </c>
      <c r="AU38" s="4" t="s">
        <v>3948</v>
      </c>
      <c r="AV38" s="4" t="s">
        <v>402</v>
      </c>
      <c r="AW38" s="4" t="s">
        <v>77</v>
      </c>
    </row>
    <row r="39" spans="1:49" ht="57.6" x14ac:dyDescent="0.3">
      <c r="A39" s="7" t="s">
        <v>2629</v>
      </c>
      <c r="B39" s="4" t="s">
        <v>3949</v>
      </c>
      <c r="C39" s="4" t="s">
        <v>3524</v>
      </c>
      <c r="D39" s="4" t="s">
        <v>480</v>
      </c>
      <c r="E39" s="4" t="s">
        <v>185</v>
      </c>
      <c r="F39" s="4" t="s">
        <v>3341</v>
      </c>
      <c r="G39" s="4" t="s">
        <v>3525</v>
      </c>
      <c r="H39" s="4" t="s">
        <v>140</v>
      </c>
      <c r="I39" s="4" t="s">
        <v>407</v>
      </c>
      <c r="J39" s="4" t="s">
        <v>3950</v>
      </c>
      <c r="K39" s="4" t="s">
        <v>3765</v>
      </c>
      <c r="L39" s="4" t="s">
        <v>880</v>
      </c>
      <c r="M39" s="4" t="s">
        <v>591</v>
      </c>
      <c r="N39" s="4" t="s">
        <v>3951</v>
      </c>
      <c r="O39" s="4" t="s">
        <v>3952</v>
      </c>
      <c r="P39" s="4" t="s">
        <v>1395</v>
      </c>
      <c r="Q39" s="4" t="s">
        <v>100</v>
      </c>
      <c r="R39" s="4" t="s">
        <v>3529</v>
      </c>
      <c r="S39" s="4" t="s">
        <v>551</v>
      </c>
      <c r="T39" s="4" t="s">
        <v>522</v>
      </c>
      <c r="U39" s="4" t="s">
        <v>109</v>
      </c>
      <c r="V39" s="4" t="s">
        <v>3953</v>
      </c>
      <c r="W39" s="4" t="s">
        <v>3954</v>
      </c>
      <c r="X39" s="4" t="s">
        <v>393</v>
      </c>
      <c r="Y39" s="4" t="s">
        <v>73</v>
      </c>
      <c r="Z39" s="4" t="s">
        <v>3955</v>
      </c>
      <c r="AA39" s="4" t="s">
        <v>3956</v>
      </c>
      <c r="AB39" s="4" t="s">
        <v>316</v>
      </c>
      <c r="AC39" s="4" t="s">
        <v>109</v>
      </c>
      <c r="AD39" s="4" t="s">
        <v>3534</v>
      </c>
      <c r="AE39" s="4" t="s">
        <v>3535</v>
      </c>
      <c r="AF39" s="4" t="s">
        <v>88</v>
      </c>
      <c r="AG39" s="4" t="s">
        <v>73</v>
      </c>
      <c r="AH39" s="4" t="s">
        <v>3957</v>
      </c>
      <c r="AI39" s="4" t="s">
        <v>3958</v>
      </c>
      <c r="AJ39" s="4" t="s">
        <v>690</v>
      </c>
      <c r="AK39" s="4" t="s">
        <v>185</v>
      </c>
      <c r="AL39" s="4" t="s">
        <v>3959</v>
      </c>
      <c r="AM39" s="4" t="s">
        <v>3960</v>
      </c>
      <c r="AN39" s="4" t="s">
        <v>645</v>
      </c>
      <c r="AO39" s="4" t="s">
        <v>84</v>
      </c>
      <c r="AP39" s="4" t="s">
        <v>3539</v>
      </c>
      <c r="AQ39" s="4" t="s">
        <v>1998</v>
      </c>
      <c r="AR39" s="4" t="s">
        <v>341</v>
      </c>
      <c r="AS39" s="4" t="s">
        <v>127</v>
      </c>
      <c r="AT39" s="4" t="s">
        <v>3961</v>
      </c>
      <c r="AU39" s="4" t="s">
        <v>3962</v>
      </c>
      <c r="AV39" s="4" t="s">
        <v>2151</v>
      </c>
      <c r="AW39" s="4" t="s">
        <v>109</v>
      </c>
    </row>
    <row r="40" spans="1:49" ht="72" x14ac:dyDescent="0.3">
      <c r="A40" s="25" t="s">
        <v>2985</v>
      </c>
      <c r="B40" s="4" t="s">
        <v>3963</v>
      </c>
      <c r="C40" s="4" t="s">
        <v>3964</v>
      </c>
      <c r="D40" s="4" t="s">
        <v>1620</v>
      </c>
      <c r="E40" s="4" t="s">
        <v>77</v>
      </c>
      <c r="F40" s="4" t="s">
        <v>3965</v>
      </c>
      <c r="G40" s="4" t="s">
        <v>3827</v>
      </c>
      <c r="H40" s="4" t="s">
        <v>134</v>
      </c>
      <c r="I40" s="4" t="s">
        <v>158</v>
      </c>
      <c r="J40" s="4" t="s">
        <v>3966</v>
      </c>
      <c r="K40" s="4" t="s">
        <v>3967</v>
      </c>
      <c r="L40" s="4" t="s">
        <v>1034</v>
      </c>
      <c r="M40" s="4" t="s">
        <v>158</v>
      </c>
      <c r="N40" s="4" t="s">
        <v>3968</v>
      </c>
      <c r="O40" s="4" t="s">
        <v>3969</v>
      </c>
      <c r="P40" s="4" t="s">
        <v>247</v>
      </c>
      <c r="Q40" s="4" t="s">
        <v>84</v>
      </c>
      <c r="R40" s="4" t="s">
        <v>195</v>
      </c>
      <c r="S40" s="4" t="s">
        <v>3970</v>
      </c>
      <c r="T40" s="4" t="s">
        <v>335</v>
      </c>
      <c r="U40" s="4" t="s">
        <v>127</v>
      </c>
      <c r="V40" s="4" t="s">
        <v>3971</v>
      </c>
      <c r="W40" s="4" t="s">
        <v>3972</v>
      </c>
      <c r="X40" s="4" t="s">
        <v>216</v>
      </c>
      <c r="Y40" s="4" t="s">
        <v>103</v>
      </c>
      <c r="Z40" s="4" t="s">
        <v>3973</v>
      </c>
      <c r="AA40" s="4" t="s">
        <v>3974</v>
      </c>
      <c r="AB40" s="4" t="s">
        <v>2042</v>
      </c>
      <c r="AC40" s="4" t="s">
        <v>84</v>
      </c>
      <c r="AD40" s="4" t="s">
        <v>3975</v>
      </c>
      <c r="AE40" s="4" t="s">
        <v>3976</v>
      </c>
      <c r="AF40" s="4" t="s">
        <v>206</v>
      </c>
      <c r="AG40" s="4" t="s">
        <v>77</v>
      </c>
      <c r="AH40" s="4" t="s">
        <v>3977</v>
      </c>
      <c r="AI40" s="4" t="s">
        <v>3978</v>
      </c>
      <c r="AJ40" s="4" t="s">
        <v>131</v>
      </c>
      <c r="AK40" s="4" t="s">
        <v>84</v>
      </c>
      <c r="AL40" s="4" t="s">
        <v>3979</v>
      </c>
      <c r="AM40" s="4" t="s">
        <v>3104</v>
      </c>
      <c r="AN40" s="4" t="s">
        <v>152</v>
      </c>
      <c r="AO40" s="4" t="s">
        <v>153</v>
      </c>
      <c r="AP40" s="4" t="s">
        <v>3980</v>
      </c>
      <c r="AQ40" s="4" t="s">
        <v>3858</v>
      </c>
      <c r="AR40" s="4" t="s">
        <v>1034</v>
      </c>
      <c r="AS40" s="4" t="s">
        <v>103</v>
      </c>
      <c r="AT40" s="4" t="s">
        <v>3981</v>
      </c>
      <c r="AU40" s="4" t="s">
        <v>3982</v>
      </c>
      <c r="AV40" s="4" t="s">
        <v>216</v>
      </c>
      <c r="AW40" s="4" t="s">
        <v>103</v>
      </c>
    </row>
    <row r="41" spans="1:49" ht="72" x14ac:dyDescent="0.3">
      <c r="A41" s="25" t="s">
        <v>3007</v>
      </c>
      <c r="B41" s="4" t="s">
        <v>1390</v>
      </c>
      <c r="C41" s="4" t="s">
        <v>1239</v>
      </c>
      <c r="D41" s="4" t="s">
        <v>1848</v>
      </c>
      <c r="E41" s="4" t="s">
        <v>109</v>
      </c>
      <c r="F41" s="4" t="s">
        <v>3983</v>
      </c>
      <c r="G41" s="4" t="s">
        <v>3984</v>
      </c>
      <c r="H41" s="4" t="s">
        <v>219</v>
      </c>
      <c r="I41" s="4" t="s">
        <v>100</v>
      </c>
      <c r="J41" s="4" t="s">
        <v>3985</v>
      </c>
      <c r="K41" s="4" t="s">
        <v>3986</v>
      </c>
      <c r="L41" s="4" t="s">
        <v>1608</v>
      </c>
      <c r="M41" s="4" t="s">
        <v>407</v>
      </c>
      <c r="N41" s="4" t="s">
        <v>3987</v>
      </c>
      <c r="O41" s="4" t="s">
        <v>2227</v>
      </c>
      <c r="P41" s="4" t="s">
        <v>235</v>
      </c>
      <c r="Q41" s="4" t="s">
        <v>84</v>
      </c>
      <c r="R41" s="4" t="s">
        <v>3988</v>
      </c>
      <c r="S41" s="4" t="s">
        <v>3989</v>
      </c>
      <c r="T41" s="4" t="s">
        <v>149</v>
      </c>
      <c r="U41" s="4" t="s">
        <v>84</v>
      </c>
      <c r="V41" s="4" t="s">
        <v>3990</v>
      </c>
      <c r="W41" s="4" t="s">
        <v>3991</v>
      </c>
      <c r="X41" s="4" t="s">
        <v>355</v>
      </c>
      <c r="Y41" s="4" t="s">
        <v>100</v>
      </c>
      <c r="Z41" s="4" t="s">
        <v>3992</v>
      </c>
      <c r="AA41" s="4" t="s">
        <v>3223</v>
      </c>
      <c r="AB41" s="4" t="s">
        <v>206</v>
      </c>
      <c r="AC41" s="4" t="s">
        <v>77</v>
      </c>
      <c r="AD41" s="4" t="s">
        <v>3993</v>
      </c>
      <c r="AE41" s="4" t="s">
        <v>2333</v>
      </c>
      <c r="AF41" s="4" t="s">
        <v>920</v>
      </c>
      <c r="AG41" s="4" t="s">
        <v>77</v>
      </c>
      <c r="AH41" s="4" t="s">
        <v>3994</v>
      </c>
      <c r="AI41" s="4" t="s">
        <v>3995</v>
      </c>
      <c r="AJ41" s="4" t="s">
        <v>1517</v>
      </c>
      <c r="AK41" s="4" t="s">
        <v>109</v>
      </c>
      <c r="AL41" s="4" t="s">
        <v>3996</v>
      </c>
      <c r="AM41" s="4" t="s">
        <v>1231</v>
      </c>
      <c r="AN41" s="4" t="s">
        <v>250</v>
      </c>
      <c r="AO41" s="4" t="s">
        <v>103</v>
      </c>
      <c r="AP41" s="4" t="s">
        <v>3997</v>
      </c>
      <c r="AQ41" s="4" t="s">
        <v>3456</v>
      </c>
      <c r="AR41" s="4" t="s">
        <v>811</v>
      </c>
      <c r="AS41" s="4" t="s">
        <v>153</v>
      </c>
      <c r="AT41" s="4" t="s">
        <v>3998</v>
      </c>
      <c r="AU41" s="4" t="s">
        <v>3999</v>
      </c>
      <c r="AV41" s="4" t="s">
        <v>338</v>
      </c>
      <c r="AW41" s="4" t="s">
        <v>127</v>
      </c>
    </row>
    <row r="42" spans="1:49" ht="86.4" x14ac:dyDescent="0.3">
      <c r="A42" s="25" t="s">
        <v>3028</v>
      </c>
      <c r="B42" s="4" t="s">
        <v>4000</v>
      </c>
      <c r="C42" s="4" t="s">
        <v>3466</v>
      </c>
      <c r="D42" s="4" t="s">
        <v>344</v>
      </c>
      <c r="E42" s="4" t="s">
        <v>109</v>
      </c>
      <c r="F42" s="4" t="s">
        <v>4001</v>
      </c>
      <c r="G42" s="4" t="s">
        <v>4002</v>
      </c>
      <c r="H42" s="4" t="s">
        <v>469</v>
      </c>
      <c r="I42" s="4" t="s">
        <v>158</v>
      </c>
      <c r="J42" s="4" t="s">
        <v>4003</v>
      </c>
      <c r="K42" s="4" t="s">
        <v>4004</v>
      </c>
      <c r="L42" s="4" t="s">
        <v>167</v>
      </c>
      <c r="M42" s="4" t="s">
        <v>117</v>
      </c>
      <c r="N42" s="4" t="s">
        <v>4005</v>
      </c>
      <c r="O42" s="4" t="s">
        <v>4006</v>
      </c>
      <c r="P42" s="4" t="s">
        <v>457</v>
      </c>
      <c r="Q42" s="4" t="s">
        <v>127</v>
      </c>
      <c r="R42" s="4" t="s">
        <v>4007</v>
      </c>
      <c r="S42" s="4" t="s">
        <v>4008</v>
      </c>
      <c r="T42" s="4" t="s">
        <v>344</v>
      </c>
      <c r="U42" s="4" t="s">
        <v>127</v>
      </c>
      <c r="V42" s="4" t="s">
        <v>4009</v>
      </c>
      <c r="W42" s="4" t="s">
        <v>644</v>
      </c>
      <c r="X42" s="4" t="s">
        <v>200</v>
      </c>
      <c r="Y42" s="4" t="s">
        <v>158</v>
      </c>
      <c r="Z42" s="4" t="s">
        <v>4010</v>
      </c>
      <c r="AA42" s="4" t="s">
        <v>4011</v>
      </c>
      <c r="AB42" s="4" t="s">
        <v>338</v>
      </c>
      <c r="AC42" s="4" t="s">
        <v>77</v>
      </c>
      <c r="AD42" s="4" t="s">
        <v>4012</v>
      </c>
      <c r="AE42" s="4" t="s">
        <v>928</v>
      </c>
      <c r="AF42" s="4" t="s">
        <v>469</v>
      </c>
      <c r="AG42" s="4" t="s">
        <v>127</v>
      </c>
      <c r="AH42" s="4" t="s">
        <v>4013</v>
      </c>
      <c r="AI42" s="4" t="s">
        <v>4014</v>
      </c>
      <c r="AJ42" s="4" t="s">
        <v>355</v>
      </c>
      <c r="AK42" s="4" t="s">
        <v>109</v>
      </c>
      <c r="AL42" s="4" t="s">
        <v>4015</v>
      </c>
      <c r="AM42" s="4" t="s">
        <v>4016</v>
      </c>
      <c r="AN42" s="4" t="s">
        <v>487</v>
      </c>
      <c r="AO42" s="4" t="s">
        <v>103</v>
      </c>
      <c r="AP42" s="4" t="s">
        <v>4017</v>
      </c>
      <c r="AQ42" s="4" t="s">
        <v>1944</v>
      </c>
      <c r="AR42" s="4" t="s">
        <v>338</v>
      </c>
      <c r="AS42" s="4" t="s">
        <v>84</v>
      </c>
      <c r="AT42" s="4" t="s">
        <v>4018</v>
      </c>
      <c r="AU42" s="4" t="s">
        <v>4019</v>
      </c>
      <c r="AV42" s="4" t="s">
        <v>177</v>
      </c>
      <c r="AW42" s="4" t="s">
        <v>77</v>
      </c>
    </row>
    <row r="43" spans="1:49" ht="57.6" x14ac:dyDescent="0.3">
      <c r="A43" s="7" t="s">
        <v>2652</v>
      </c>
      <c r="B43" s="4" t="s">
        <v>4020</v>
      </c>
      <c r="C43" s="4" t="s">
        <v>4021</v>
      </c>
      <c r="D43" s="4" t="s">
        <v>393</v>
      </c>
      <c r="E43" s="4" t="s">
        <v>617</v>
      </c>
      <c r="F43" s="4" t="s">
        <v>884</v>
      </c>
      <c r="G43" s="4" t="s">
        <v>3543</v>
      </c>
      <c r="H43" s="4" t="s">
        <v>420</v>
      </c>
      <c r="I43" s="4" t="s">
        <v>591</v>
      </c>
      <c r="J43" s="4" t="s">
        <v>4022</v>
      </c>
      <c r="K43" s="4" t="s">
        <v>3716</v>
      </c>
      <c r="L43" s="4" t="s">
        <v>2151</v>
      </c>
      <c r="M43" s="4" t="s">
        <v>664</v>
      </c>
      <c r="N43" s="4" t="s">
        <v>4023</v>
      </c>
      <c r="O43" s="4" t="s">
        <v>4024</v>
      </c>
      <c r="P43" s="4" t="s">
        <v>298</v>
      </c>
      <c r="Q43" s="4" t="s">
        <v>100</v>
      </c>
      <c r="R43" s="4" t="s">
        <v>3548</v>
      </c>
      <c r="S43" s="4" t="s">
        <v>3549</v>
      </c>
      <c r="T43" s="4" t="s">
        <v>2907</v>
      </c>
      <c r="U43" s="4" t="s">
        <v>158</v>
      </c>
      <c r="V43" s="4" t="s">
        <v>4025</v>
      </c>
      <c r="W43" s="4" t="s">
        <v>4026</v>
      </c>
      <c r="X43" s="4" t="s">
        <v>1674</v>
      </c>
      <c r="Y43" s="4" t="s">
        <v>117</v>
      </c>
      <c r="Z43" s="4" t="s">
        <v>4027</v>
      </c>
      <c r="AA43" s="4" t="s">
        <v>4028</v>
      </c>
      <c r="AB43" s="4" t="s">
        <v>1224</v>
      </c>
      <c r="AC43" s="4" t="s">
        <v>109</v>
      </c>
      <c r="AD43" s="4" t="s">
        <v>3553</v>
      </c>
      <c r="AE43" s="4" t="s">
        <v>3554</v>
      </c>
      <c r="AF43" s="4" t="s">
        <v>3132</v>
      </c>
      <c r="AG43" s="4" t="s">
        <v>73</v>
      </c>
      <c r="AH43" s="4" t="s">
        <v>4029</v>
      </c>
      <c r="AI43" s="4" t="s">
        <v>4030</v>
      </c>
      <c r="AJ43" s="4" t="s">
        <v>3607</v>
      </c>
      <c r="AK43" s="4" t="s">
        <v>73</v>
      </c>
      <c r="AL43" s="4" t="s">
        <v>4031</v>
      </c>
      <c r="AM43" s="4" t="s">
        <v>1809</v>
      </c>
      <c r="AN43" s="4" t="s">
        <v>620</v>
      </c>
      <c r="AO43" s="4" t="s">
        <v>127</v>
      </c>
      <c r="AP43" s="4" t="s">
        <v>3558</v>
      </c>
      <c r="AQ43" s="4" t="s">
        <v>2150</v>
      </c>
      <c r="AR43" s="4" t="s">
        <v>420</v>
      </c>
      <c r="AS43" s="4" t="s">
        <v>127</v>
      </c>
      <c r="AT43" s="4" t="s">
        <v>4032</v>
      </c>
      <c r="AU43" s="4" t="s">
        <v>4033</v>
      </c>
      <c r="AV43" s="4" t="s">
        <v>422</v>
      </c>
      <c r="AW43" s="4" t="s">
        <v>100</v>
      </c>
    </row>
    <row r="44" spans="1:49" ht="72" x14ac:dyDescent="0.3">
      <c r="A44" s="25" t="s">
        <v>2985</v>
      </c>
      <c r="B44" s="4" t="s">
        <v>4034</v>
      </c>
      <c r="C44" s="4" t="s">
        <v>3631</v>
      </c>
      <c r="D44" s="4" t="s">
        <v>990</v>
      </c>
      <c r="E44" s="4" t="s">
        <v>185</v>
      </c>
      <c r="F44" s="4" t="s">
        <v>4035</v>
      </c>
      <c r="G44" s="4" t="s">
        <v>4036</v>
      </c>
      <c r="H44" s="4" t="s">
        <v>1408</v>
      </c>
      <c r="I44" s="4" t="s">
        <v>117</v>
      </c>
      <c r="J44" s="4" t="s">
        <v>4037</v>
      </c>
      <c r="K44" s="4" t="s">
        <v>4038</v>
      </c>
      <c r="L44" s="4" t="s">
        <v>171</v>
      </c>
      <c r="M44" s="4" t="s">
        <v>407</v>
      </c>
      <c r="N44" s="4" t="s">
        <v>4039</v>
      </c>
      <c r="O44" s="4" t="s">
        <v>2240</v>
      </c>
      <c r="P44" s="4" t="s">
        <v>180</v>
      </c>
      <c r="Q44" s="4" t="s">
        <v>127</v>
      </c>
      <c r="R44" s="4" t="s">
        <v>4040</v>
      </c>
      <c r="S44" s="4" t="s">
        <v>1019</v>
      </c>
      <c r="T44" s="4" t="s">
        <v>97</v>
      </c>
      <c r="U44" s="4" t="s">
        <v>77</v>
      </c>
      <c r="V44" s="4" t="s">
        <v>4041</v>
      </c>
      <c r="W44" s="4" t="s">
        <v>4042</v>
      </c>
      <c r="X44" s="4" t="s">
        <v>157</v>
      </c>
      <c r="Y44" s="4" t="s">
        <v>77</v>
      </c>
      <c r="Z44" s="4" t="s">
        <v>4043</v>
      </c>
      <c r="AA44" s="4" t="s">
        <v>4044</v>
      </c>
      <c r="AB44" s="4" t="s">
        <v>923</v>
      </c>
      <c r="AC44" s="4" t="s">
        <v>77</v>
      </c>
      <c r="AD44" s="4" t="s">
        <v>4045</v>
      </c>
      <c r="AE44" s="4" t="s">
        <v>4046</v>
      </c>
      <c r="AF44" s="4" t="s">
        <v>325</v>
      </c>
      <c r="AG44" s="4" t="s">
        <v>158</v>
      </c>
      <c r="AH44" s="4" t="s">
        <v>4047</v>
      </c>
      <c r="AI44" s="4" t="s">
        <v>4048</v>
      </c>
      <c r="AJ44" s="4" t="s">
        <v>206</v>
      </c>
      <c r="AK44" s="4" t="s">
        <v>109</v>
      </c>
      <c r="AL44" s="4" t="s">
        <v>4049</v>
      </c>
      <c r="AM44" s="4" t="s">
        <v>2827</v>
      </c>
      <c r="AN44" s="4" t="s">
        <v>580</v>
      </c>
      <c r="AO44" s="4" t="s">
        <v>103</v>
      </c>
      <c r="AP44" s="4" t="s">
        <v>4050</v>
      </c>
      <c r="AQ44" s="4" t="s">
        <v>4051</v>
      </c>
      <c r="AR44" s="4" t="s">
        <v>164</v>
      </c>
      <c r="AS44" s="4" t="s">
        <v>84</v>
      </c>
      <c r="AT44" s="4" t="s">
        <v>4052</v>
      </c>
      <c r="AU44" s="4" t="s">
        <v>705</v>
      </c>
      <c r="AV44" s="4" t="s">
        <v>360</v>
      </c>
      <c r="AW44" s="4" t="s">
        <v>84</v>
      </c>
    </row>
    <row r="45" spans="1:49" ht="72" x14ac:dyDescent="0.3">
      <c r="A45" s="25" t="s">
        <v>3007</v>
      </c>
      <c r="B45" s="4" t="s">
        <v>4053</v>
      </c>
      <c r="C45" s="4" t="s">
        <v>3842</v>
      </c>
      <c r="D45" s="4" t="s">
        <v>1760</v>
      </c>
      <c r="E45" s="4" t="s">
        <v>100</v>
      </c>
      <c r="F45" s="4" t="s">
        <v>4054</v>
      </c>
      <c r="G45" s="4" t="s">
        <v>4055</v>
      </c>
      <c r="H45" s="4" t="s">
        <v>1322</v>
      </c>
      <c r="I45" s="4" t="s">
        <v>185</v>
      </c>
      <c r="J45" s="4" t="s">
        <v>4056</v>
      </c>
      <c r="K45" s="4" t="s">
        <v>3439</v>
      </c>
      <c r="L45" s="4" t="s">
        <v>457</v>
      </c>
      <c r="M45" s="4" t="s">
        <v>117</v>
      </c>
      <c r="N45" s="4" t="s">
        <v>4057</v>
      </c>
      <c r="O45" s="4" t="s">
        <v>3941</v>
      </c>
      <c r="P45" s="4" t="s">
        <v>171</v>
      </c>
      <c r="Q45" s="4" t="s">
        <v>77</v>
      </c>
      <c r="R45" s="4" t="s">
        <v>4058</v>
      </c>
      <c r="S45" s="4" t="s">
        <v>3865</v>
      </c>
      <c r="T45" s="4" t="s">
        <v>389</v>
      </c>
      <c r="U45" s="4" t="s">
        <v>77</v>
      </c>
      <c r="V45" s="4" t="s">
        <v>4059</v>
      </c>
      <c r="W45" s="4" t="s">
        <v>3232</v>
      </c>
      <c r="X45" s="4" t="s">
        <v>3045</v>
      </c>
      <c r="Y45" s="4" t="s">
        <v>185</v>
      </c>
      <c r="Z45" s="4" t="s">
        <v>4060</v>
      </c>
      <c r="AA45" s="4" t="s">
        <v>4061</v>
      </c>
      <c r="AB45" s="4" t="s">
        <v>389</v>
      </c>
      <c r="AC45" s="4" t="s">
        <v>127</v>
      </c>
      <c r="AD45" s="4" t="s">
        <v>4062</v>
      </c>
      <c r="AE45" s="4" t="s">
        <v>3466</v>
      </c>
      <c r="AF45" s="4" t="s">
        <v>335</v>
      </c>
      <c r="AG45" s="4" t="s">
        <v>127</v>
      </c>
      <c r="AH45" s="4" t="s">
        <v>4063</v>
      </c>
      <c r="AI45" s="4" t="s">
        <v>1202</v>
      </c>
      <c r="AJ45" s="4" t="s">
        <v>1022</v>
      </c>
      <c r="AK45" s="4" t="s">
        <v>109</v>
      </c>
      <c r="AL45" s="4" t="s">
        <v>4064</v>
      </c>
      <c r="AM45" s="4" t="s">
        <v>1170</v>
      </c>
      <c r="AN45" s="4" t="s">
        <v>348</v>
      </c>
      <c r="AO45" s="4" t="s">
        <v>103</v>
      </c>
      <c r="AP45" s="4" t="s">
        <v>4065</v>
      </c>
      <c r="AQ45" s="4" t="s">
        <v>4066</v>
      </c>
      <c r="AR45" s="4" t="s">
        <v>2005</v>
      </c>
      <c r="AS45" s="4" t="s">
        <v>103</v>
      </c>
      <c r="AT45" s="4" t="s">
        <v>4067</v>
      </c>
      <c r="AU45" s="4" t="s">
        <v>1965</v>
      </c>
      <c r="AV45" s="4" t="s">
        <v>1268</v>
      </c>
      <c r="AW45" s="4" t="s">
        <v>77</v>
      </c>
    </row>
    <row r="46" spans="1:49" ht="86.4" x14ac:dyDescent="0.3">
      <c r="A46" s="25" t="s">
        <v>3028</v>
      </c>
      <c r="B46" s="4" t="s">
        <v>4068</v>
      </c>
      <c r="C46" s="4" t="s">
        <v>4069</v>
      </c>
      <c r="D46" s="4" t="s">
        <v>811</v>
      </c>
      <c r="E46" s="4" t="s">
        <v>127</v>
      </c>
      <c r="F46" s="4" t="s">
        <v>4070</v>
      </c>
      <c r="G46" s="4" t="s">
        <v>4071</v>
      </c>
      <c r="H46" s="4" t="s">
        <v>152</v>
      </c>
      <c r="I46" s="4" t="s">
        <v>109</v>
      </c>
      <c r="J46" s="4" t="s">
        <v>4072</v>
      </c>
      <c r="K46" s="4" t="s">
        <v>4073</v>
      </c>
      <c r="L46" s="4" t="s">
        <v>210</v>
      </c>
      <c r="M46" s="4" t="s">
        <v>77</v>
      </c>
      <c r="N46" s="4" t="s">
        <v>1075</v>
      </c>
      <c r="O46" s="4" t="s">
        <v>4074</v>
      </c>
      <c r="P46" s="4" t="s">
        <v>1620</v>
      </c>
      <c r="Q46" s="4" t="s">
        <v>127</v>
      </c>
      <c r="R46" s="4" t="s">
        <v>4075</v>
      </c>
      <c r="S46" s="4" t="s">
        <v>4076</v>
      </c>
      <c r="T46" s="4" t="s">
        <v>920</v>
      </c>
      <c r="U46" s="4" t="s">
        <v>127</v>
      </c>
      <c r="V46" s="4" t="s">
        <v>4077</v>
      </c>
      <c r="W46" s="4" t="s">
        <v>1535</v>
      </c>
      <c r="X46" s="4" t="s">
        <v>161</v>
      </c>
      <c r="Y46" s="4" t="s">
        <v>100</v>
      </c>
      <c r="Z46" s="4" t="s">
        <v>1846</v>
      </c>
      <c r="AA46" s="4" t="s">
        <v>4078</v>
      </c>
      <c r="AB46" s="4" t="s">
        <v>366</v>
      </c>
      <c r="AC46" s="4" t="s">
        <v>84</v>
      </c>
      <c r="AD46" s="4" t="s">
        <v>4079</v>
      </c>
      <c r="AE46" s="4" t="s">
        <v>4080</v>
      </c>
      <c r="AF46" s="4" t="s">
        <v>474</v>
      </c>
      <c r="AG46" s="4" t="s">
        <v>127</v>
      </c>
      <c r="AH46" s="4" t="s">
        <v>4081</v>
      </c>
      <c r="AI46" s="4" t="s">
        <v>2993</v>
      </c>
      <c r="AJ46" s="4" t="s">
        <v>363</v>
      </c>
      <c r="AK46" s="4" t="s">
        <v>84</v>
      </c>
      <c r="AL46" s="4" t="s">
        <v>4082</v>
      </c>
      <c r="AM46" s="4" t="s">
        <v>3155</v>
      </c>
      <c r="AN46" s="4" t="s">
        <v>1108</v>
      </c>
      <c r="AO46" s="4" t="s">
        <v>103</v>
      </c>
      <c r="AP46" s="4" t="s">
        <v>4083</v>
      </c>
      <c r="AQ46" s="4" t="s">
        <v>4084</v>
      </c>
      <c r="AR46" s="4" t="s">
        <v>355</v>
      </c>
      <c r="AS46" s="4" t="s">
        <v>103</v>
      </c>
      <c r="AT46" s="4" t="s">
        <v>4085</v>
      </c>
      <c r="AU46" s="4" t="s">
        <v>4086</v>
      </c>
      <c r="AV46" s="4" t="s">
        <v>1322</v>
      </c>
      <c r="AW46" s="4" t="s">
        <v>127</v>
      </c>
    </row>
    <row r="47" spans="1:49" ht="43.2" x14ac:dyDescent="0.3">
      <c r="A47" s="7" t="s">
        <v>3278</v>
      </c>
      <c r="B47" s="4" t="s">
        <v>4087</v>
      </c>
      <c r="C47" s="4" t="s">
        <v>4088</v>
      </c>
      <c r="D47" s="4" t="s">
        <v>2372</v>
      </c>
      <c r="E47" s="4" t="s">
        <v>617</v>
      </c>
      <c r="F47" s="4" t="s">
        <v>4089</v>
      </c>
      <c r="G47" s="4" t="s">
        <v>4090</v>
      </c>
      <c r="H47" s="4" t="s">
        <v>4091</v>
      </c>
      <c r="I47" s="4" t="s">
        <v>1382</v>
      </c>
      <c r="J47" s="4" t="s">
        <v>4092</v>
      </c>
      <c r="K47" s="4" t="s">
        <v>471</v>
      </c>
      <c r="L47" s="4" t="s">
        <v>895</v>
      </c>
      <c r="M47" s="4" t="s">
        <v>1074</v>
      </c>
      <c r="N47" s="4" t="s">
        <v>4093</v>
      </c>
      <c r="O47" s="4" t="s">
        <v>4094</v>
      </c>
      <c r="P47" s="4" t="s">
        <v>4095</v>
      </c>
      <c r="Q47" s="4" t="s">
        <v>109</v>
      </c>
      <c r="R47" s="4" t="s">
        <v>4096</v>
      </c>
      <c r="S47" s="4" t="s">
        <v>4097</v>
      </c>
      <c r="T47" s="4" t="s">
        <v>4098</v>
      </c>
      <c r="U47" s="4" t="s">
        <v>73</v>
      </c>
      <c r="V47" s="4" t="s">
        <v>4099</v>
      </c>
      <c r="W47" s="4" t="s">
        <v>2321</v>
      </c>
      <c r="X47" s="4" t="s">
        <v>422</v>
      </c>
      <c r="Y47" s="4" t="s">
        <v>73</v>
      </c>
      <c r="Z47" s="4" t="s">
        <v>4100</v>
      </c>
      <c r="AA47" s="4" t="s">
        <v>2739</v>
      </c>
      <c r="AB47" s="4" t="s">
        <v>4101</v>
      </c>
      <c r="AC47" s="4" t="s">
        <v>109</v>
      </c>
      <c r="AD47" s="4" t="s">
        <v>4102</v>
      </c>
      <c r="AE47" s="4" t="s">
        <v>4103</v>
      </c>
      <c r="AF47" s="4" t="s">
        <v>1427</v>
      </c>
      <c r="AG47" s="4" t="s">
        <v>617</v>
      </c>
      <c r="AH47" s="4" t="s">
        <v>4104</v>
      </c>
      <c r="AI47" s="4" t="s">
        <v>1430</v>
      </c>
      <c r="AJ47" s="4" t="s">
        <v>272</v>
      </c>
      <c r="AK47" s="4" t="s">
        <v>185</v>
      </c>
      <c r="AL47" s="4" t="s">
        <v>4105</v>
      </c>
      <c r="AM47" s="4" t="s">
        <v>4106</v>
      </c>
      <c r="AN47" s="4" t="s">
        <v>552</v>
      </c>
      <c r="AO47" s="4" t="s">
        <v>127</v>
      </c>
      <c r="AP47" s="4" t="s">
        <v>4107</v>
      </c>
      <c r="AQ47" s="4" t="s">
        <v>4108</v>
      </c>
      <c r="AR47" s="4" t="s">
        <v>4109</v>
      </c>
      <c r="AS47" s="4" t="s">
        <v>77</v>
      </c>
      <c r="AT47" s="4" t="s">
        <v>4110</v>
      </c>
      <c r="AU47" s="4" t="s">
        <v>4111</v>
      </c>
      <c r="AV47" s="4" t="s">
        <v>1802</v>
      </c>
      <c r="AW47" s="4" t="s">
        <v>100</v>
      </c>
    </row>
    <row r="48" spans="1:49" ht="72" x14ac:dyDescent="0.3">
      <c r="A48" s="25" t="s">
        <v>2985</v>
      </c>
      <c r="B48" s="4" t="s">
        <v>4112</v>
      </c>
      <c r="C48" s="4" t="s">
        <v>2801</v>
      </c>
      <c r="D48" s="4" t="s">
        <v>4113</v>
      </c>
      <c r="E48" s="4" t="s">
        <v>617</v>
      </c>
      <c r="F48" s="4" t="s">
        <v>4114</v>
      </c>
      <c r="G48" s="4" t="s">
        <v>4115</v>
      </c>
      <c r="H48" s="4" t="s">
        <v>1315</v>
      </c>
      <c r="I48" s="4" t="s">
        <v>1382</v>
      </c>
      <c r="J48" s="4" t="s">
        <v>4116</v>
      </c>
      <c r="K48" s="4" t="s">
        <v>4117</v>
      </c>
      <c r="L48" s="4" t="s">
        <v>1381</v>
      </c>
      <c r="M48" s="4" t="s">
        <v>591</v>
      </c>
      <c r="N48" s="4" t="s">
        <v>4118</v>
      </c>
      <c r="O48" s="4" t="s">
        <v>4119</v>
      </c>
      <c r="P48" s="4" t="s">
        <v>3810</v>
      </c>
      <c r="Q48" s="4" t="s">
        <v>109</v>
      </c>
      <c r="R48" s="4" t="s">
        <v>4120</v>
      </c>
      <c r="S48" s="4" t="s">
        <v>4121</v>
      </c>
      <c r="T48" s="4" t="s">
        <v>1885</v>
      </c>
      <c r="U48" s="4" t="s">
        <v>73</v>
      </c>
      <c r="V48" s="4" t="s">
        <v>4122</v>
      </c>
      <c r="W48" s="4" t="s">
        <v>4123</v>
      </c>
      <c r="X48" s="4" t="s">
        <v>94</v>
      </c>
      <c r="Y48" s="4" t="s">
        <v>158</v>
      </c>
      <c r="Z48" s="4" t="s">
        <v>4124</v>
      </c>
      <c r="AA48" s="4" t="s">
        <v>1927</v>
      </c>
      <c r="AB48" s="4" t="s">
        <v>2658</v>
      </c>
      <c r="AC48" s="4" t="s">
        <v>109</v>
      </c>
      <c r="AD48" s="4" t="s">
        <v>4125</v>
      </c>
      <c r="AE48" s="4" t="s">
        <v>3814</v>
      </c>
      <c r="AF48" s="4" t="s">
        <v>4126</v>
      </c>
      <c r="AG48" s="4" t="s">
        <v>617</v>
      </c>
      <c r="AH48" s="4" t="s">
        <v>4127</v>
      </c>
      <c r="AI48" s="4" t="s">
        <v>615</v>
      </c>
      <c r="AJ48" s="4" t="s">
        <v>325</v>
      </c>
      <c r="AK48" s="4" t="s">
        <v>158</v>
      </c>
      <c r="AL48" s="4" t="s">
        <v>4128</v>
      </c>
      <c r="AM48" s="4" t="s">
        <v>4129</v>
      </c>
      <c r="AN48" s="4" t="s">
        <v>1086</v>
      </c>
      <c r="AO48" s="4" t="s">
        <v>127</v>
      </c>
      <c r="AP48" s="4" t="s">
        <v>4130</v>
      </c>
      <c r="AQ48" s="4" t="s">
        <v>3067</v>
      </c>
      <c r="AR48" s="4" t="s">
        <v>1421</v>
      </c>
      <c r="AS48" s="4" t="s">
        <v>100</v>
      </c>
      <c r="AT48" s="4" t="s">
        <v>4131</v>
      </c>
      <c r="AU48" s="4" t="s">
        <v>4132</v>
      </c>
      <c r="AV48" s="4" t="s">
        <v>1159</v>
      </c>
      <c r="AW48" s="4" t="s">
        <v>100</v>
      </c>
    </row>
    <row r="49" spans="1:49" ht="72" x14ac:dyDescent="0.3">
      <c r="A49" s="25" t="s">
        <v>3007</v>
      </c>
      <c r="B49" s="4" t="s">
        <v>4133</v>
      </c>
      <c r="C49" s="4" t="s">
        <v>1016</v>
      </c>
      <c r="D49" s="4" t="s">
        <v>1510</v>
      </c>
      <c r="E49" s="4" t="s">
        <v>100</v>
      </c>
      <c r="F49" s="4" t="s">
        <v>4134</v>
      </c>
      <c r="G49" s="4" t="s">
        <v>4135</v>
      </c>
      <c r="H49" s="4" t="s">
        <v>164</v>
      </c>
      <c r="I49" s="4" t="s">
        <v>185</v>
      </c>
      <c r="J49" s="4" t="s">
        <v>4136</v>
      </c>
      <c r="K49" s="4" t="s">
        <v>971</v>
      </c>
      <c r="L49" s="4" t="s">
        <v>811</v>
      </c>
      <c r="M49" s="4" t="s">
        <v>77</v>
      </c>
      <c r="N49" s="4" t="s">
        <v>4137</v>
      </c>
      <c r="O49" s="4" t="s">
        <v>2232</v>
      </c>
      <c r="P49" s="4" t="s">
        <v>180</v>
      </c>
      <c r="Q49" s="4" t="s">
        <v>127</v>
      </c>
      <c r="R49" s="4" t="s">
        <v>4138</v>
      </c>
      <c r="S49" s="4" t="s">
        <v>3392</v>
      </c>
      <c r="T49" s="4" t="s">
        <v>445</v>
      </c>
      <c r="U49" s="4" t="s">
        <v>100</v>
      </c>
      <c r="V49" s="4" t="s">
        <v>4139</v>
      </c>
      <c r="W49" s="4" t="s">
        <v>2779</v>
      </c>
      <c r="X49" s="4" t="s">
        <v>137</v>
      </c>
      <c r="Y49" s="4" t="s">
        <v>77</v>
      </c>
      <c r="Z49" s="4" t="s">
        <v>4140</v>
      </c>
      <c r="AA49" s="4" t="s">
        <v>284</v>
      </c>
      <c r="AB49" s="4" t="s">
        <v>920</v>
      </c>
      <c r="AC49" s="4" t="s">
        <v>127</v>
      </c>
      <c r="AD49" s="4" t="s">
        <v>4141</v>
      </c>
      <c r="AE49" s="4" t="s">
        <v>840</v>
      </c>
      <c r="AF49" s="4" t="s">
        <v>1760</v>
      </c>
      <c r="AG49" s="4" t="s">
        <v>109</v>
      </c>
      <c r="AH49" s="4" t="s">
        <v>4142</v>
      </c>
      <c r="AI49" s="4" t="s">
        <v>3964</v>
      </c>
      <c r="AJ49" s="4" t="s">
        <v>814</v>
      </c>
      <c r="AK49" s="4" t="s">
        <v>84</v>
      </c>
      <c r="AL49" s="4" t="s">
        <v>4143</v>
      </c>
      <c r="AM49" s="4" t="s">
        <v>3207</v>
      </c>
      <c r="AN49" s="4" t="s">
        <v>291</v>
      </c>
      <c r="AO49" s="4" t="s">
        <v>84</v>
      </c>
      <c r="AP49" s="4" t="s">
        <v>4144</v>
      </c>
      <c r="AQ49" s="4" t="s">
        <v>1744</v>
      </c>
      <c r="AR49" s="4" t="s">
        <v>690</v>
      </c>
      <c r="AS49" s="4" t="s">
        <v>127</v>
      </c>
      <c r="AT49" s="4" t="s">
        <v>4145</v>
      </c>
      <c r="AU49" s="4" t="s">
        <v>4146</v>
      </c>
      <c r="AV49" s="4" t="s">
        <v>1022</v>
      </c>
      <c r="AW49" s="4" t="s">
        <v>127</v>
      </c>
    </row>
    <row r="50" spans="1:49" ht="86.4" x14ac:dyDescent="0.3">
      <c r="A50" s="25" t="s">
        <v>3028</v>
      </c>
      <c r="B50" s="4" t="s">
        <v>4147</v>
      </c>
      <c r="C50" s="4" t="s">
        <v>3905</v>
      </c>
      <c r="D50" s="4" t="s">
        <v>253</v>
      </c>
      <c r="E50" s="4" t="s">
        <v>84</v>
      </c>
      <c r="F50" s="4" t="s">
        <v>4148</v>
      </c>
      <c r="G50" s="4" t="s">
        <v>4149</v>
      </c>
      <c r="H50" s="4" t="s">
        <v>811</v>
      </c>
      <c r="I50" s="4" t="s">
        <v>77</v>
      </c>
      <c r="J50" s="4" t="s">
        <v>4150</v>
      </c>
      <c r="K50" s="4" t="s">
        <v>4151</v>
      </c>
      <c r="L50" s="4" t="s">
        <v>803</v>
      </c>
      <c r="M50" s="4" t="s">
        <v>84</v>
      </c>
      <c r="N50" s="4" t="s">
        <v>4152</v>
      </c>
      <c r="O50" s="4" t="s">
        <v>4153</v>
      </c>
      <c r="P50" s="4" t="s">
        <v>240</v>
      </c>
      <c r="Q50" s="4" t="s">
        <v>103</v>
      </c>
      <c r="R50" s="4" t="s">
        <v>4154</v>
      </c>
      <c r="S50" s="4" t="s">
        <v>3165</v>
      </c>
      <c r="T50" s="4" t="s">
        <v>152</v>
      </c>
      <c r="U50" s="4" t="s">
        <v>84</v>
      </c>
      <c r="V50" s="4" t="s">
        <v>4155</v>
      </c>
      <c r="W50" s="4" t="s">
        <v>4156</v>
      </c>
      <c r="X50" s="4" t="s">
        <v>797</v>
      </c>
      <c r="Y50" s="4" t="s">
        <v>103</v>
      </c>
      <c r="Z50" s="4" t="s">
        <v>4157</v>
      </c>
      <c r="AA50" s="4" t="s">
        <v>4158</v>
      </c>
      <c r="AB50" s="4" t="s">
        <v>763</v>
      </c>
      <c r="AC50" s="4" t="s">
        <v>153</v>
      </c>
      <c r="AD50" s="4" t="s">
        <v>3089</v>
      </c>
      <c r="AE50" s="4" t="s">
        <v>1197</v>
      </c>
      <c r="AF50" s="4" t="s">
        <v>718</v>
      </c>
      <c r="AG50" s="4" t="s">
        <v>103</v>
      </c>
      <c r="AH50" s="4" t="s">
        <v>4159</v>
      </c>
      <c r="AI50" s="4" t="s">
        <v>2134</v>
      </c>
      <c r="AJ50" s="4" t="s">
        <v>756</v>
      </c>
      <c r="AK50" s="4" t="s">
        <v>153</v>
      </c>
      <c r="AL50" s="4" t="s">
        <v>4160</v>
      </c>
      <c r="AM50" s="4" t="s">
        <v>4066</v>
      </c>
      <c r="AN50" s="4" t="s">
        <v>250</v>
      </c>
      <c r="AO50" s="4" t="s">
        <v>103</v>
      </c>
      <c r="AP50" s="4" t="s">
        <v>4161</v>
      </c>
      <c r="AQ50" s="4" t="s">
        <v>1707</v>
      </c>
      <c r="AR50" s="4" t="s">
        <v>1620</v>
      </c>
      <c r="AS50" s="4" t="s">
        <v>103</v>
      </c>
      <c r="AT50" s="4" t="s">
        <v>4162</v>
      </c>
      <c r="AU50" s="4" t="s">
        <v>4163</v>
      </c>
      <c r="AV50" s="4" t="s">
        <v>216</v>
      </c>
      <c r="AW50" s="4" t="s">
        <v>153</v>
      </c>
    </row>
    <row r="51" spans="1:49" ht="86.4" x14ac:dyDescent="0.3">
      <c r="A51" s="7" t="s">
        <v>3380</v>
      </c>
      <c r="B51" s="4" t="s">
        <v>4164</v>
      </c>
      <c r="C51" s="4" t="s">
        <v>4165</v>
      </c>
      <c r="D51" s="4" t="s">
        <v>149</v>
      </c>
      <c r="E51" s="4" t="s">
        <v>100</v>
      </c>
      <c r="F51" s="4" t="s">
        <v>4166</v>
      </c>
      <c r="G51" s="4" t="s">
        <v>4167</v>
      </c>
      <c r="H51" s="4" t="s">
        <v>253</v>
      </c>
      <c r="I51" s="4" t="s">
        <v>127</v>
      </c>
      <c r="J51" s="4" t="s">
        <v>4168</v>
      </c>
      <c r="K51" s="4" t="s">
        <v>3846</v>
      </c>
      <c r="L51" s="4" t="s">
        <v>1620</v>
      </c>
      <c r="M51" s="4" t="s">
        <v>407</v>
      </c>
      <c r="N51" s="4" t="s">
        <v>4169</v>
      </c>
      <c r="O51" s="4" t="s">
        <v>4170</v>
      </c>
      <c r="P51" s="4" t="s">
        <v>838</v>
      </c>
      <c r="Q51" s="4" t="s">
        <v>84</v>
      </c>
      <c r="R51" s="4" t="s">
        <v>4171</v>
      </c>
      <c r="S51" s="4" t="s">
        <v>3846</v>
      </c>
      <c r="T51" s="4" t="s">
        <v>253</v>
      </c>
      <c r="U51" s="4" t="s">
        <v>103</v>
      </c>
      <c r="V51" s="4" t="s">
        <v>4172</v>
      </c>
      <c r="W51" s="4" t="s">
        <v>4173</v>
      </c>
      <c r="X51" s="4" t="s">
        <v>1034</v>
      </c>
      <c r="Y51" s="4" t="s">
        <v>77</v>
      </c>
      <c r="Z51" s="4" t="s">
        <v>4174</v>
      </c>
      <c r="AA51" s="4" t="s">
        <v>4175</v>
      </c>
      <c r="AB51" s="4" t="s">
        <v>1034</v>
      </c>
      <c r="AC51" s="4" t="s">
        <v>84</v>
      </c>
      <c r="AD51" s="4" t="s">
        <v>4176</v>
      </c>
      <c r="AE51" s="4" t="s">
        <v>4177</v>
      </c>
      <c r="AF51" s="4" t="s">
        <v>240</v>
      </c>
      <c r="AG51" s="4" t="s">
        <v>84</v>
      </c>
      <c r="AH51" s="4" t="s">
        <v>4178</v>
      </c>
      <c r="AI51" s="4" t="s">
        <v>1065</v>
      </c>
      <c r="AJ51" s="4" t="s">
        <v>1979</v>
      </c>
      <c r="AK51" s="4" t="s">
        <v>77</v>
      </c>
      <c r="AL51" s="4" t="s">
        <v>4179</v>
      </c>
      <c r="AM51" s="4" t="s">
        <v>471</v>
      </c>
      <c r="AN51" s="4" t="s">
        <v>253</v>
      </c>
      <c r="AO51" s="4" t="s">
        <v>153</v>
      </c>
      <c r="AP51" s="4" t="s">
        <v>4180</v>
      </c>
      <c r="AQ51" s="4" t="s">
        <v>4181</v>
      </c>
      <c r="AR51" s="4" t="s">
        <v>803</v>
      </c>
      <c r="AS51" s="4" t="s">
        <v>153</v>
      </c>
      <c r="AT51" s="4" t="s">
        <v>4182</v>
      </c>
      <c r="AU51" s="4" t="s">
        <v>3098</v>
      </c>
      <c r="AV51" s="4" t="s">
        <v>474</v>
      </c>
      <c r="AW51" s="4" t="s">
        <v>103</v>
      </c>
    </row>
    <row r="52" spans="1:49" ht="43.2" x14ac:dyDescent="0.3">
      <c r="A52" s="7" t="s">
        <v>2947</v>
      </c>
      <c r="B52" s="4" t="s">
        <v>1354</v>
      </c>
      <c r="C52" s="4" t="s">
        <v>1355</v>
      </c>
      <c r="D52" s="4" t="s">
        <v>240</v>
      </c>
      <c r="E52" s="4" t="s">
        <v>127</v>
      </c>
      <c r="F52" s="4" t="s">
        <v>62</v>
      </c>
      <c r="G52" s="4" t="s">
        <v>62</v>
      </c>
      <c r="H52" s="4" t="s">
        <v>62</v>
      </c>
      <c r="I52" s="4" t="s">
        <v>62</v>
      </c>
      <c r="J52" s="4" t="s">
        <v>1354</v>
      </c>
      <c r="K52" s="4" t="s">
        <v>1355</v>
      </c>
      <c r="L52" s="4" t="s">
        <v>256</v>
      </c>
      <c r="M52" s="4" t="s">
        <v>158</v>
      </c>
      <c r="N52" s="4" t="s">
        <v>1356</v>
      </c>
      <c r="O52" s="4" t="s">
        <v>603</v>
      </c>
      <c r="P52" s="4" t="s">
        <v>814</v>
      </c>
      <c r="Q52" s="4" t="s">
        <v>84</v>
      </c>
      <c r="R52" s="4" t="s">
        <v>62</v>
      </c>
      <c r="S52" s="4" t="s">
        <v>62</v>
      </c>
      <c r="T52" s="4" t="s">
        <v>62</v>
      </c>
      <c r="U52" s="4" t="s">
        <v>62</v>
      </c>
      <c r="V52" s="4" t="s">
        <v>1356</v>
      </c>
      <c r="W52" s="4" t="s">
        <v>603</v>
      </c>
      <c r="X52" s="4" t="s">
        <v>2042</v>
      </c>
      <c r="Y52" s="4" t="s">
        <v>100</v>
      </c>
      <c r="Z52" s="4" t="s">
        <v>1357</v>
      </c>
      <c r="AA52" s="4" t="s">
        <v>1358</v>
      </c>
      <c r="AB52" s="4" t="s">
        <v>838</v>
      </c>
      <c r="AC52" s="4" t="s">
        <v>84</v>
      </c>
      <c r="AD52" s="4" t="s">
        <v>62</v>
      </c>
      <c r="AE52" s="4" t="s">
        <v>62</v>
      </c>
      <c r="AF52" s="4" t="s">
        <v>62</v>
      </c>
      <c r="AG52" s="4" t="s">
        <v>62</v>
      </c>
      <c r="AH52" s="4" t="s">
        <v>1357</v>
      </c>
      <c r="AI52" s="4" t="s">
        <v>1358</v>
      </c>
      <c r="AJ52" s="4" t="s">
        <v>243</v>
      </c>
      <c r="AK52" s="4" t="s">
        <v>77</v>
      </c>
      <c r="AL52" s="4" t="s">
        <v>1359</v>
      </c>
      <c r="AM52" s="4" t="s">
        <v>1360</v>
      </c>
      <c r="AN52" s="4" t="s">
        <v>210</v>
      </c>
      <c r="AO52" s="4" t="s">
        <v>153</v>
      </c>
      <c r="AP52" s="4" t="s">
        <v>62</v>
      </c>
      <c r="AQ52" s="4" t="s">
        <v>62</v>
      </c>
      <c r="AR52" s="4" t="s">
        <v>62</v>
      </c>
      <c r="AS52" s="4" t="s">
        <v>62</v>
      </c>
      <c r="AT52" s="4" t="s">
        <v>1359</v>
      </c>
      <c r="AU52" s="4" t="s">
        <v>1360</v>
      </c>
      <c r="AV52" s="4" t="s">
        <v>360</v>
      </c>
      <c r="AW52" s="4" t="s">
        <v>103</v>
      </c>
    </row>
  </sheetData>
  <mergeCells count="28">
    <mergeCell ref="AL2:AM2"/>
    <mergeCell ref="AN2:AO2"/>
    <mergeCell ref="AP2:AQ2"/>
    <mergeCell ref="AR2:AS2"/>
    <mergeCell ref="AT2:AU2"/>
    <mergeCell ref="AV2:AW2"/>
    <mergeCell ref="Z2:AA2"/>
    <mergeCell ref="AB2:AC2"/>
    <mergeCell ref="AD2:AE2"/>
    <mergeCell ref="AF2:AG2"/>
    <mergeCell ref="AH2:AI2"/>
    <mergeCell ref="AJ2:AK2"/>
    <mergeCell ref="N2:O2"/>
    <mergeCell ref="P2:Q2"/>
    <mergeCell ref="R2:S2"/>
    <mergeCell ref="T2:U2"/>
    <mergeCell ref="V2:W2"/>
    <mergeCell ref="X2:Y2"/>
    <mergeCell ref="B1:M1"/>
    <mergeCell ref="N1:Y1"/>
    <mergeCell ref="Z1:AK1"/>
    <mergeCell ref="AL1:AW1"/>
    <mergeCell ref="B2:C2"/>
    <mergeCell ref="D2:E2"/>
    <mergeCell ref="F2:G2"/>
    <mergeCell ref="H2:I2"/>
    <mergeCell ref="J2:K2"/>
    <mergeCell ref="L2:M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25274-0C5F-4D19-A2E3-5981AB043093}">
  <dimension ref="A1:E72"/>
  <sheetViews>
    <sheetView workbookViewId="0">
      <selection sqref="A1:E72"/>
    </sheetView>
  </sheetViews>
  <sheetFormatPr defaultRowHeight="14.4" x14ac:dyDescent="0.3"/>
  <sheetData>
    <row r="1" spans="1:5" ht="129.6" x14ac:dyDescent="0.3">
      <c r="A1" s="5" t="s">
        <v>53</v>
      </c>
      <c r="B1" s="5" t="s">
        <v>49</v>
      </c>
      <c r="C1" s="5" t="s">
        <v>50</v>
      </c>
      <c r="D1" s="5" t="s">
        <v>51</v>
      </c>
      <c r="E1" s="5" t="s">
        <v>52</v>
      </c>
    </row>
    <row r="2" spans="1:5" x14ac:dyDescent="0.3">
      <c r="A2" s="4" t="s">
        <v>4183</v>
      </c>
      <c r="B2" s="4" t="s">
        <v>4184</v>
      </c>
      <c r="C2" s="4" t="s">
        <v>4185</v>
      </c>
      <c r="D2" s="4" t="s">
        <v>4186</v>
      </c>
      <c r="E2" s="4" t="s">
        <v>4187</v>
      </c>
    </row>
    <row r="3" spans="1:5" ht="57.6" x14ac:dyDescent="0.3">
      <c r="A3" s="6" t="s">
        <v>4188</v>
      </c>
      <c r="B3" s="4" t="s">
        <v>4189</v>
      </c>
      <c r="C3" s="4" t="s">
        <v>4190</v>
      </c>
      <c r="D3" s="4" t="s">
        <v>4191</v>
      </c>
      <c r="E3" s="4" t="s">
        <v>4192</v>
      </c>
    </row>
    <row r="4" spans="1:5" ht="28.8" x14ac:dyDescent="0.3">
      <c r="A4" s="7" t="s">
        <v>4193</v>
      </c>
      <c r="B4" s="4" t="s">
        <v>4194</v>
      </c>
      <c r="C4" s="4" t="s">
        <v>4195</v>
      </c>
      <c r="D4" s="4" t="s">
        <v>4196</v>
      </c>
      <c r="E4" s="4" t="s">
        <v>4197</v>
      </c>
    </row>
    <row r="5" spans="1:5" ht="100.8" x14ac:dyDescent="0.3">
      <c r="A5" s="7" t="s">
        <v>4198</v>
      </c>
      <c r="B5" s="4" t="s">
        <v>4199</v>
      </c>
      <c r="C5" s="4" t="s">
        <v>4200</v>
      </c>
      <c r="D5" s="4" t="s">
        <v>4201</v>
      </c>
      <c r="E5" s="4" t="s">
        <v>4202</v>
      </c>
    </row>
    <row r="6" spans="1:5" ht="115.2" x14ac:dyDescent="0.3">
      <c r="A6" s="7" t="s">
        <v>4203</v>
      </c>
      <c r="B6" s="4" t="s">
        <v>3186</v>
      </c>
      <c r="C6" s="4" t="s">
        <v>4204</v>
      </c>
      <c r="D6" s="4" t="s">
        <v>4205</v>
      </c>
      <c r="E6" s="4" t="s">
        <v>4206</v>
      </c>
    </row>
    <row r="7" spans="1:5" ht="28.8" x14ac:dyDescent="0.3">
      <c r="A7" s="7" t="s">
        <v>4207</v>
      </c>
      <c r="B7" s="4" t="s">
        <v>4208</v>
      </c>
      <c r="C7" s="4" t="s">
        <v>4209</v>
      </c>
      <c r="D7" s="4" t="s">
        <v>4210</v>
      </c>
      <c r="E7" s="4" t="s">
        <v>4211</v>
      </c>
    </row>
    <row r="8" spans="1:5" ht="158.4" x14ac:dyDescent="0.3">
      <c r="A8" s="7" t="s">
        <v>4212</v>
      </c>
      <c r="B8" s="4" t="s">
        <v>4213</v>
      </c>
      <c r="C8" s="4" t="s">
        <v>4214</v>
      </c>
      <c r="D8" s="4" t="s">
        <v>4215</v>
      </c>
      <c r="E8" s="4" t="s">
        <v>4216</v>
      </c>
    </row>
    <row r="9" spans="1:5" ht="57.6" x14ac:dyDescent="0.3">
      <c r="A9" s="7" t="s">
        <v>4217</v>
      </c>
      <c r="B9" s="4" t="s">
        <v>4218</v>
      </c>
      <c r="C9" s="4" t="s">
        <v>4219</v>
      </c>
      <c r="D9" s="4" t="s">
        <v>4220</v>
      </c>
      <c r="E9" s="4" t="s">
        <v>4221</v>
      </c>
    </row>
    <row r="10" spans="1:5" ht="72" x14ac:dyDescent="0.3">
      <c r="A10" s="6" t="s">
        <v>4222</v>
      </c>
      <c r="B10" s="4" t="s">
        <v>4223</v>
      </c>
      <c r="C10" s="4" t="s">
        <v>4224</v>
      </c>
      <c r="D10" s="4" t="s">
        <v>4225</v>
      </c>
      <c r="E10" s="4" t="s">
        <v>4226</v>
      </c>
    </row>
    <row r="11" spans="1:5" ht="72" x14ac:dyDescent="0.3">
      <c r="A11" s="7" t="s">
        <v>4227</v>
      </c>
      <c r="B11" s="4" t="s">
        <v>529</v>
      </c>
      <c r="C11" s="4" t="s">
        <v>4228</v>
      </c>
      <c r="D11" s="4" t="s">
        <v>4229</v>
      </c>
      <c r="E11" s="4" t="s">
        <v>4230</v>
      </c>
    </row>
    <row r="12" spans="1:5" ht="129.6" x14ac:dyDescent="0.3">
      <c r="A12" s="25" t="s">
        <v>4231</v>
      </c>
      <c r="B12" s="4" t="s">
        <v>4232</v>
      </c>
      <c r="C12" s="4" t="s">
        <v>4233</v>
      </c>
      <c r="D12" s="4" t="s">
        <v>4234</v>
      </c>
      <c r="E12" s="4" t="s">
        <v>4235</v>
      </c>
    </row>
    <row r="13" spans="1:5" ht="172.8" x14ac:dyDescent="0.3">
      <c r="A13" s="25" t="s">
        <v>4236</v>
      </c>
      <c r="B13" s="4" t="s">
        <v>4237</v>
      </c>
      <c r="C13" s="4" t="s">
        <v>4238</v>
      </c>
      <c r="D13" s="4" t="s">
        <v>4239</v>
      </c>
      <c r="E13" s="4" t="s">
        <v>4240</v>
      </c>
    </row>
    <row r="14" spans="1:5" ht="57.6" x14ac:dyDescent="0.3">
      <c r="A14" s="25" t="s">
        <v>4241</v>
      </c>
      <c r="B14" s="4" t="s">
        <v>4242</v>
      </c>
      <c r="C14" s="4" t="s">
        <v>4243</v>
      </c>
      <c r="D14" s="4" t="s">
        <v>4003</v>
      </c>
      <c r="E14" s="4" t="s">
        <v>3647</v>
      </c>
    </row>
    <row r="15" spans="1:5" ht="187.2" x14ac:dyDescent="0.3">
      <c r="A15" s="25" t="s">
        <v>4244</v>
      </c>
      <c r="B15" s="4" t="s">
        <v>4245</v>
      </c>
      <c r="C15" s="4" t="s">
        <v>4246</v>
      </c>
      <c r="D15" s="4" t="s">
        <v>4247</v>
      </c>
      <c r="E15" s="4" t="s">
        <v>4248</v>
      </c>
    </row>
    <row r="16" spans="1:5" ht="115.2" x14ac:dyDescent="0.3">
      <c r="A16" s="25" t="s">
        <v>4249</v>
      </c>
      <c r="B16" s="4" t="s">
        <v>4250</v>
      </c>
      <c r="C16" s="4" t="s">
        <v>4251</v>
      </c>
      <c r="D16" s="4" t="s">
        <v>4252</v>
      </c>
      <c r="E16" s="4" t="s">
        <v>4253</v>
      </c>
    </row>
    <row r="17" spans="1:5" ht="244.8" x14ac:dyDescent="0.3">
      <c r="A17" s="25" t="s">
        <v>4254</v>
      </c>
      <c r="B17" s="4" t="s">
        <v>4255</v>
      </c>
      <c r="C17" s="4" t="s">
        <v>4256</v>
      </c>
      <c r="D17" s="4" t="s">
        <v>4257</v>
      </c>
      <c r="E17" s="4" t="s">
        <v>4258</v>
      </c>
    </row>
    <row r="18" spans="1:5" ht="129.6" x14ac:dyDescent="0.3">
      <c r="A18" s="25" t="s">
        <v>4259</v>
      </c>
      <c r="B18" s="4" t="s">
        <v>4260</v>
      </c>
      <c r="C18" s="4" t="s">
        <v>4261</v>
      </c>
      <c r="D18" s="4" t="s">
        <v>4262</v>
      </c>
      <c r="E18" s="4" t="s">
        <v>4263</v>
      </c>
    </row>
    <row r="19" spans="1:5" ht="259.2" x14ac:dyDescent="0.3">
      <c r="A19" s="25" t="s">
        <v>4264</v>
      </c>
      <c r="B19" s="4" t="s">
        <v>4265</v>
      </c>
      <c r="C19" s="4" t="s">
        <v>4266</v>
      </c>
      <c r="D19" s="4" t="s">
        <v>4213</v>
      </c>
      <c r="E19" s="4" t="s">
        <v>4267</v>
      </c>
    </row>
    <row r="20" spans="1:5" ht="187.2" x14ac:dyDescent="0.3">
      <c r="A20" s="25" t="s">
        <v>4268</v>
      </c>
      <c r="B20" s="4" t="s">
        <v>3003</v>
      </c>
      <c r="C20" s="4" t="s">
        <v>4269</v>
      </c>
      <c r="D20" s="4" t="s">
        <v>4270</v>
      </c>
      <c r="E20" s="4" t="s">
        <v>4271</v>
      </c>
    </row>
    <row r="21" spans="1:5" ht="172.8" x14ac:dyDescent="0.3">
      <c r="A21" s="25" t="s">
        <v>4272</v>
      </c>
      <c r="B21" s="4" t="s">
        <v>4273</v>
      </c>
      <c r="C21" s="4" t="s">
        <v>4274</v>
      </c>
      <c r="D21" s="4" t="s">
        <v>4275</v>
      </c>
      <c r="E21" s="4" t="s">
        <v>4276</v>
      </c>
    </row>
    <row r="22" spans="1:5" ht="302.39999999999998" x14ac:dyDescent="0.3">
      <c r="A22" s="25" t="s">
        <v>4277</v>
      </c>
      <c r="B22" s="4" t="s">
        <v>4278</v>
      </c>
      <c r="C22" s="4" t="s">
        <v>4279</v>
      </c>
      <c r="D22" s="4" t="s">
        <v>4280</v>
      </c>
      <c r="E22" s="4" t="s">
        <v>4281</v>
      </c>
    </row>
    <row r="23" spans="1:5" ht="230.4" x14ac:dyDescent="0.3">
      <c r="A23" s="25" t="s">
        <v>4282</v>
      </c>
      <c r="B23" s="4" t="s">
        <v>4283</v>
      </c>
      <c r="C23" s="4" t="s">
        <v>4284</v>
      </c>
      <c r="D23" s="4" t="s">
        <v>4285</v>
      </c>
      <c r="E23" s="4" t="s">
        <v>4136</v>
      </c>
    </row>
    <row r="24" spans="1:5" ht="187.2" x14ac:dyDescent="0.3">
      <c r="A24" s="25" t="s">
        <v>4286</v>
      </c>
      <c r="B24" s="4" t="s">
        <v>4279</v>
      </c>
      <c r="C24" s="4" t="s">
        <v>1545</v>
      </c>
      <c r="D24" s="4" t="s">
        <v>4287</v>
      </c>
      <c r="E24" s="4" t="s">
        <v>4288</v>
      </c>
    </row>
    <row r="25" spans="1:5" ht="115.2" x14ac:dyDescent="0.3">
      <c r="A25" s="25" t="s">
        <v>4289</v>
      </c>
      <c r="B25" s="4" t="s">
        <v>4290</v>
      </c>
      <c r="C25" s="4" t="s">
        <v>4291</v>
      </c>
      <c r="D25" s="4" t="s">
        <v>4292</v>
      </c>
      <c r="E25" s="4" t="s">
        <v>4293</v>
      </c>
    </row>
    <row r="26" spans="1:5" ht="244.8" x14ac:dyDescent="0.3">
      <c r="A26" s="25" t="s">
        <v>4294</v>
      </c>
      <c r="B26" s="4" t="s">
        <v>4295</v>
      </c>
      <c r="C26" s="4" t="s">
        <v>4296</v>
      </c>
      <c r="D26" s="4" t="s">
        <v>4297</v>
      </c>
      <c r="E26" s="4" t="s">
        <v>4298</v>
      </c>
    </row>
    <row r="27" spans="1:5" ht="72" x14ac:dyDescent="0.3">
      <c r="A27" s="7" t="s">
        <v>4299</v>
      </c>
      <c r="B27" s="4" t="s">
        <v>4300</v>
      </c>
      <c r="C27" s="4" t="s">
        <v>4301</v>
      </c>
      <c r="D27" s="4" t="s">
        <v>4302</v>
      </c>
      <c r="E27" s="4" t="s">
        <v>4303</v>
      </c>
    </row>
    <row r="28" spans="1:5" ht="273.60000000000002" x14ac:dyDescent="0.3">
      <c r="A28" s="25" t="s">
        <v>4304</v>
      </c>
      <c r="B28" s="4" t="s">
        <v>4305</v>
      </c>
      <c r="C28" s="4" t="s">
        <v>4306</v>
      </c>
      <c r="D28" s="4" t="s">
        <v>4307</v>
      </c>
      <c r="E28" s="4" t="s">
        <v>4308</v>
      </c>
    </row>
    <row r="29" spans="1:5" ht="158.4" x14ac:dyDescent="0.3">
      <c r="A29" s="25" t="s">
        <v>4309</v>
      </c>
      <c r="B29" s="4" t="s">
        <v>4310</v>
      </c>
      <c r="C29" s="4" t="s">
        <v>4311</v>
      </c>
      <c r="D29" s="4" t="s">
        <v>4312</v>
      </c>
      <c r="E29" s="4" t="s">
        <v>4313</v>
      </c>
    </row>
    <row r="30" spans="1:5" ht="288" x14ac:dyDescent="0.3">
      <c r="A30" s="25" t="s">
        <v>4314</v>
      </c>
      <c r="B30" s="4" t="s">
        <v>4278</v>
      </c>
      <c r="C30" s="4" t="s">
        <v>4315</v>
      </c>
      <c r="D30" s="4" t="s">
        <v>4316</v>
      </c>
      <c r="E30" s="4" t="s">
        <v>2254</v>
      </c>
    </row>
    <row r="31" spans="1:5" ht="216" x14ac:dyDescent="0.3">
      <c r="A31" s="25" t="s">
        <v>4317</v>
      </c>
      <c r="B31" s="4" t="s">
        <v>4318</v>
      </c>
      <c r="C31" s="4" t="s">
        <v>3897</v>
      </c>
      <c r="D31" s="4" t="s">
        <v>4319</v>
      </c>
      <c r="E31" s="4" t="s">
        <v>4320</v>
      </c>
    </row>
    <row r="32" spans="1:5" ht="201.6" x14ac:dyDescent="0.3">
      <c r="A32" s="25" t="s">
        <v>4321</v>
      </c>
      <c r="B32" s="4" t="s">
        <v>4310</v>
      </c>
      <c r="C32" s="4" t="s">
        <v>4322</v>
      </c>
      <c r="D32" s="4" t="s">
        <v>4323</v>
      </c>
      <c r="E32" s="4" t="s">
        <v>4324</v>
      </c>
    </row>
    <row r="33" spans="1:5" ht="331.2" x14ac:dyDescent="0.3">
      <c r="A33" s="25" t="s">
        <v>4325</v>
      </c>
      <c r="B33" s="4" t="s">
        <v>4278</v>
      </c>
      <c r="C33" s="4" t="s">
        <v>4326</v>
      </c>
      <c r="D33" s="4" t="s">
        <v>4327</v>
      </c>
      <c r="E33" s="4" t="s">
        <v>4315</v>
      </c>
    </row>
    <row r="34" spans="1:5" ht="259.2" x14ac:dyDescent="0.3">
      <c r="A34" s="25" t="s">
        <v>4328</v>
      </c>
      <c r="B34" s="4" t="s">
        <v>4329</v>
      </c>
      <c r="C34" s="4" t="s">
        <v>4330</v>
      </c>
      <c r="D34" s="4" t="s">
        <v>4331</v>
      </c>
      <c r="E34" s="4" t="s">
        <v>4332</v>
      </c>
    </row>
    <row r="35" spans="1:5" ht="216" x14ac:dyDescent="0.3">
      <c r="A35" s="25" t="s">
        <v>4333</v>
      </c>
      <c r="B35" s="4" t="s">
        <v>4334</v>
      </c>
      <c r="C35" s="4" t="s">
        <v>4335</v>
      </c>
      <c r="D35" s="4" t="s">
        <v>4336</v>
      </c>
      <c r="E35" s="4" t="s">
        <v>4337</v>
      </c>
    </row>
    <row r="36" spans="1:5" ht="144" x14ac:dyDescent="0.3">
      <c r="A36" s="25" t="s">
        <v>4338</v>
      </c>
      <c r="B36" s="4" t="s">
        <v>4279</v>
      </c>
      <c r="C36" s="4" t="s">
        <v>4339</v>
      </c>
      <c r="D36" s="4" t="s">
        <v>4340</v>
      </c>
      <c r="E36" s="4" t="s">
        <v>4341</v>
      </c>
    </row>
    <row r="37" spans="1:5" ht="273.60000000000002" x14ac:dyDescent="0.3">
      <c r="A37" s="25" t="s">
        <v>4342</v>
      </c>
      <c r="B37" s="4" t="s">
        <v>4343</v>
      </c>
      <c r="C37" s="4" t="s">
        <v>4344</v>
      </c>
      <c r="D37" s="4" t="s">
        <v>4345</v>
      </c>
      <c r="E37" s="4" t="s">
        <v>4281</v>
      </c>
    </row>
    <row r="38" spans="1:5" ht="273.60000000000002" x14ac:dyDescent="0.3">
      <c r="A38" s="25" t="s">
        <v>4346</v>
      </c>
      <c r="B38" s="4" t="s">
        <v>4278</v>
      </c>
      <c r="C38" s="4" t="s">
        <v>4347</v>
      </c>
      <c r="D38" s="4" t="s">
        <v>4273</v>
      </c>
      <c r="E38" s="4" t="s">
        <v>4348</v>
      </c>
    </row>
    <row r="39" spans="1:5" ht="403.2" x14ac:dyDescent="0.3">
      <c r="A39" s="25" t="s">
        <v>4349</v>
      </c>
      <c r="B39" s="4" t="s">
        <v>745</v>
      </c>
      <c r="C39" s="4" t="s">
        <v>4278</v>
      </c>
      <c r="D39" s="4" t="s">
        <v>4350</v>
      </c>
      <c r="E39" s="4" t="s">
        <v>4351</v>
      </c>
    </row>
    <row r="40" spans="1:5" ht="331.2" x14ac:dyDescent="0.3">
      <c r="A40" s="25" t="s">
        <v>4352</v>
      </c>
      <c r="B40" s="4" t="s">
        <v>4353</v>
      </c>
      <c r="C40" s="4" t="s">
        <v>4354</v>
      </c>
      <c r="D40" s="4" t="s">
        <v>4355</v>
      </c>
      <c r="E40" s="4" t="s">
        <v>4356</v>
      </c>
    </row>
    <row r="41" spans="1:5" ht="288" x14ac:dyDescent="0.3">
      <c r="A41" s="25" t="s">
        <v>4357</v>
      </c>
      <c r="B41" s="4" t="s">
        <v>4343</v>
      </c>
      <c r="C41" s="4" t="s">
        <v>4358</v>
      </c>
      <c r="D41" s="4" t="s">
        <v>4359</v>
      </c>
      <c r="E41" s="4" t="s">
        <v>4360</v>
      </c>
    </row>
    <row r="42" spans="1:5" ht="216" x14ac:dyDescent="0.3">
      <c r="A42" s="25" t="s">
        <v>4361</v>
      </c>
      <c r="B42" s="4" t="s">
        <v>745</v>
      </c>
      <c r="C42" s="4" t="s">
        <v>766</v>
      </c>
      <c r="D42" s="4" t="s">
        <v>4362</v>
      </c>
      <c r="E42" s="4" t="s">
        <v>4336</v>
      </c>
    </row>
    <row r="43" spans="1:5" ht="345.6" x14ac:dyDescent="0.3">
      <c r="A43" s="25" t="s">
        <v>4363</v>
      </c>
      <c r="B43" s="4" t="s">
        <v>4278</v>
      </c>
      <c r="C43" s="4" t="s">
        <v>4353</v>
      </c>
      <c r="D43" s="4" t="s">
        <v>4295</v>
      </c>
      <c r="E43" s="4" t="s">
        <v>4364</v>
      </c>
    </row>
    <row r="44" spans="1:5" ht="331.2" x14ac:dyDescent="0.3">
      <c r="A44" s="25" t="s">
        <v>4365</v>
      </c>
      <c r="B44" s="4" t="s">
        <v>4278</v>
      </c>
      <c r="C44" s="4" t="s">
        <v>4280</v>
      </c>
      <c r="D44" s="4" t="s">
        <v>745</v>
      </c>
      <c r="E44" s="4" t="s">
        <v>4343</v>
      </c>
    </row>
    <row r="45" spans="1:5" ht="259.2" x14ac:dyDescent="0.3">
      <c r="A45" s="25" t="s">
        <v>4366</v>
      </c>
      <c r="B45" s="4" t="s">
        <v>4278</v>
      </c>
      <c r="C45" s="4" t="s">
        <v>745</v>
      </c>
      <c r="D45" s="4" t="s">
        <v>745</v>
      </c>
      <c r="E45" s="4" t="s">
        <v>4345</v>
      </c>
    </row>
    <row r="46" spans="1:5" ht="388.8" x14ac:dyDescent="0.3">
      <c r="A46" s="25" t="s">
        <v>4367</v>
      </c>
      <c r="B46" s="4" t="s">
        <v>745</v>
      </c>
      <c r="C46" s="4" t="s">
        <v>745</v>
      </c>
      <c r="D46" s="4" t="s">
        <v>745</v>
      </c>
      <c r="E46" s="4" t="s">
        <v>4327</v>
      </c>
    </row>
    <row r="47" spans="1:5" ht="273.60000000000002" x14ac:dyDescent="0.3">
      <c r="A47" s="25" t="s">
        <v>4368</v>
      </c>
      <c r="B47" s="4" t="s">
        <v>745</v>
      </c>
      <c r="C47" s="4" t="s">
        <v>4353</v>
      </c>
      <c r="D47" s="4" t="s">
        <v>4278</v>
      </c>
      <c r="E47" s="4" t="s">
        <v>4297</v>
      </c>
    </row>
    <row r="48" spans="1:5" ht="72" x14ac:dyDescent="0.3">
      <c r="A48" s="7" t="s">
        <v>4369</v>
      </c>
      <c r="B48" s="4" t="s">
        <v>4370</v>
      </c>
      <c r="C48" s="4" t="s">
        <v>4371</v>
      </c>
      <c r="D48" s="4" t="s">
        <v>4372</v>
      </c>
      <c r="E48" s="4" t="s">
        <v>4373</v>
      </c>
    </row>
    <row r="49" spans="1:5" ht="302.39999999999998" x14ac:dyDescent="0.3">
      <c r="A49" s="25" t="s">
        <v>4374</v>
      </c>
      <c r="B49" s="4" t="s">
        <v>4375</v>
      </c>
      <c r="C49" s="4" t="s">
        <v>4376</v>
      </c>
      <c r="D49" s="4" t="s">
        <v>4377</v>
      </c>
      <c r="E49" s="4" t="s">
        <v>4378</v>
      </c>
    </row>
    <row r="50" spans="1:5" ht="409.6" x14ac:dyDescent="0.3">
      <c r="A50" s="25" t="s">
        <v>4379</v>
      </c>
      <c r="B50" s="4" t="s">
        <v>745</v>
      </c>
      <c r="C50" s="4" t="s">
        <v>4380</v>
      </c>
      <c r="D50" s="4" t="s">
        <v>4295</v>
      </c>
      <c r="E50" s="4" t="s">
        <v>4377</v>
      </c>
    </row>
    <row r="51" spans="1:5" ht="360" x14ac:dyDescent="0.3">
      <c r="A51" s="25" t="s">
        <v>4381</v>
      </c>
      <c r="B51" s="4" t="s">
        <v>4340</v>
      </c>
      <c r="C51" s="4" t="s">
        <v>4382</v>
      </c>
      <c r="D51" s="4" t="s">
        <v>4213</v>
      </c>
      <c r="E51" s="4" t="s">
        <v>4383</v>
      </c>
    </row>
    <row r="52" spans="1:5" ht="316.8" x14ac:dyDescent="0.3">
      <c r="A52" s="25" t="s">
        <v>4384</v>
      </c>
      <c r="B52" s="4" t="s">
        <v>745</v>
      </c>
      <c r="C52" s="4" t="s">
        <v>4344</v>
      </c>
      <c r="D52" s="4" t="s">
        <v>4385</v>
      </c>
      <c r="E52" s="4" t="s">
        <v>4247</v>
      </c>
    </row>
    <row r="53" spans="1:5" ht="244.8" x14ac:dyDescent="0.3">
      <c r="A53" s="25" t="s">
        <v>4386</v>
      </c>
      <c r="B53" s="4" t="s">
        <v>745</v>
      </c>
      <c r="C53" s="4" t="s">
        <v>4315</v>
      </c>
      <c r="D53" s="4" t="s">
        <v>4380</v>
      </c>
      <c r="E53" s="4" t="s">
        <v>3009</v>
      </c>
    </row>
    <row r="54" spans="1:5" ht="374.4" x14ac:dyDescent="0.3">
      <c r="A54" s="25" t="s">
        <v>4387</v>
      </c>
      <c r="B54" s="4" t="s">
        <v>745</v>
      </c>
      <c r="C54" s="4" t="s">
        <v>4280</v>
      </c>
      <c r="D54" s="4" t="s">
        <v>745</v>
      </c>
      <c r="E54" s="4" t="s">
        <v>4350</v>
      </c>
    </row>
    <row r="55" spans="1:5" ht="360" x14ac:dyDescent="0.3">
      <c r="A55" s="25" t="s">
        <v>4388</v>
      </c>
      <c r="B55" s="4" t="s">
        <v>4350</v>
      </c>
      <c r="C55" s="4" t="s">
        <v>4389</v>
      </c>
      <c r="D55" s="4" t="s">
        <v>4345</v>
      </c>
      <c r="E55" s="4" t="s">
        <v>4390</v>
      </c>
    </row>
    <row r="56" spans="1:5" ht="288" x14ac:dyDescent="0.3">
      <c r="A56" s="25" t="s">
        <v>4391</v>
      </c>
      <c r="B56" s="4" t="s">
        <v>4343</v>
      </c>
      <c r="C56" s="4" t="s">
        <v>4377</v>
      </c>
      <c r="D56" s="4" t="s">
        <v>4280</v>
      </c>
      <c r="E56" s="4" t="s">
        <v>4392</v>
      </c>
    </row>
    <row r="57" spans="1:5" ht="409.6" x14ac:dyDescent="0.3">
      <c r="A57" s="25" t="s">
        <v>4393</v>
      </c>
      <c r="B57" s="4" t="s">
        <v>745</v>
      </c>
      <c r="C57" s="4" t="s">
        <v>745</v>
      </c>
      <c r="D57" s="4" t="s">
        <v>745</v>
      </c>
      <c r="E57" s="4" t="s">
        <v>4278</v>
      </c>
    </row>
    <row r="58" spans="1:5" ht="302.39999999999998" x14ac:dyDescent="0.3">
      <c r="A58" s="25" t="s">
        <v>4394</v>
      </c>
      <c r="B58" s="4" t="s">
        <v>745</v>
      </c>
      <c r="C58" s="4" t="s">
        <v>4343</v>
      </c>
      <c r="D58" s="4" t="s">
        <v>745</v>
      </c>
      <c r="E58" s="4" t="s">
        <v>4395</v>
      </c>
    </row>
    <row r="59" spans="1:5" ht="409.6" x14ac:dyDescent="0.3">
      <c r="A59" s="25" t="s">
        <v>4396</v>
      </c>
      <c r="B59" s="4" t="s">
        <v>4295</v>
      </c>
      <c r="C59" s="4" t="s">
        <v>4327</v>
      </c>
      <c r="D59" s="4" t="s">
        <v>745</v>
      </c>
      <c r="E59" s="4" t="s">
        <v>4375</v>
      </c>
    </row>
    <row r="60" spans="1:5" ht="360" x14ac:dyDescent="0.3">
      <c r="A60" s="25" t="s">
        <v>4397</v>
      </c>
      <c r="B60" s="4" t="s">
        <v>745</v>
      </c>
      <c r="C60" s="4" t="s">
        <v>4295</v>
      </c>
      <c r="D60" s="4" t="s">
        <v>745</v>
      </c>
      <c r="E60" s="4" t="s">
        <v>4295</v>
      </c>
    </row>
    <row r="61" spans="1:5" ht="409.6" x14ac:dyDescent="0.3">
      <c r="A61" s="25" t="s">
        <v>4398</v>
      </c>
      <c r="B61" s="4" t="s">
        <v>745</v>
      </c>
      <c r="C61" s="4" t="s">
        <v>745</v>
      </c>
      <c r="D61" s="4" t="s">
        <v>745</v>
      </c>
      <c r="E61" s="4" t="s">
        <v>4278</v>
      </c>
    </row>
    <row r="62" spans="1:5" ht="374.4" x14ac:dyDescent="0.3">
      <c r="A62" s="25" t="s">
        <v>4399</v>
      </c>
      <c r="B62" s="4" t="s">
        <v>745</v>
      </c>
      <c r="C62" s="4" t="s">
        <v>4281</v>
      </c>
      <c r="D62" s="4" t="s">
        <v>4362</v>
      </c>
      <c r="E62" s="4" t="s">
        <v>4359</v>
      </c>
    </row>
    <row r="63" spans="1:5" ht="409.6" x14ac:dyDescent="0.3">
      <c r="A63" s="25" t="s">
        <v>4400</v>
      </c>
      <c r="B63" s="4" t="s">
        <v>745</v>
      </c>
      <c r="C63" s="4" t="s">
        <v>745</v>
      </c>
      <c r="D63" s="4" t="s">
        <v>745</v>
      </c>
      <c r="E63" s="4" t="s">
        <v>4350</v>
      </c>
    </row>
    <row r="64" spans="1:5" ht="57.6" x14ac:dyDescent="0.3">
      <c r="A64" s="7" t="s">
        <v>4401</v>
      </c>
      <c r="B64" s="4" t="s">
        <v>4345</v>
      </c>
      <c r="C64" s="4" t="s">
        <v>766</v>
      </c>
      <c r="D64" s="4" t="s">
        <v>4395</v>
      </c>
      <c r="E64" s="4" t="s">
        <v>4402</v>
      </c>
    </row>
    <row r="65" spans="1:5" ht="409.6" x14ac:dyDescent="0.3">
      <c r="A65" s="25" t="s">
        <v>4403</v>
      </c>
      <c r="B65" s="4" t="s">
        <v>4278</v>
      </c>
      <c r="C65" s="4" t="s">
        <v>4404</v>
      </c>
      <c r="D65" s="4" t="s">
        <v>4344</v>
      </c>
      <c r="E65" s="4" t="s">
        <v>4405</v>
      </c>
    </row>
    <row r="66" spans="1:5" ht="388.8" x14ac:dyDescent="0.3">
      <c r="A66" s="25" t="s">
        <v>4406</v>
      </c>
      <c r="B66" s="4" t="s">
        <v>4343</v>
      </c>
      <c r="C66" s="4" t="s">
        <v>4407</v>
      </c>
      <c r="D66" s="4" t="s">
        <v>4408</v>
      </c>
      <c r="E66" s="4" t="s">
        <v>4409</v>
      </c>
    </row>
    <row r="67" spans="1:5" ht="409.6" x14ac:dyDescent="0.3">
      <c r="A67" s="25" t="s">
        <v>4410</v>
      </c>
      <c r="B67" s="4" t="s">
        <v>745</v>
      </c>
      <c r="C67" s="4" t="s">
        <v>4278</v>
      </c>
      <c r="D67" s="4" t="s">
        <v>745</v>
      </c>
      <c r="E67" s="4" t="s">
        <v>4265</v>
      </c>
    </row>
    <row r="68" spans="1:5" ht="403.2" x14ac:dyDescent="0.3">
      <c r="A68" s="25" t="s">
        <v>4411</v>
      </c>
      <c r="B68" s="4" t="s">
        <v>745</v>
      </c>
      <c r="C68" s="4" t="s">
        <v>745</v>
      </c>
      <c r="D68" s="4" t="s">
        <v>745</v>
      </c>
      <c r="E68" s="4" t="s">
        <v>4350</v>
      </c>
    </row>
    <row r="69" spans="1:5" ht="409.6" x14ac:dyDescent="0.3">
      <c r="A69" s="25" t="s">
        <v>4412</v>
      </c>
      <c r="B69" s="4" t="s">
        <v>745</v>
      </c>
      <c r="C69" s="4" t="s">
        <v>4278</v>
      </c>
      <c r="D69" s="4" t="s">
        <v>745</v>
      </c>
      <c r="E69" s="4" t="s">
        <v>4385</v>
      </c>
    </row>
    <row r="70" spans="1:5" ht="409.6" x14ac:dyDescent="0.3">
      <c r="A70" s="25" t="s">
        <v>4413</v>
      </c>
      <c r="B70" s="4" t="s">
        <v>745</v>
      </c>
      <c r="C70" s="4" t="s">
        <v>4278</v>
      </c>
      <c r="D70" s="4" t="s">
        <v>745</v>
      </c>
      <c r="E70" s="4" t="s">
        <v>4343</v>
      </c>
    </row>
    <row r="71" spans="1:5" ht="57.6" x14ac:dyDescent="0.3">
      <c r="A71" s="7" t="s">
        <v>4414</v>
      </c>
      <c r="B71" s="4" t="s">
        <v>745</v>
      </c>
      <c r="C71" s="4" t="s">
        <v>4278</v>
      </c>
      <c r="D71" s="4" t="s">
        <v>4350</v>
      </c>
      <c r="E71" s="4" t="s">
        <v>4343</v>
      </c>
    </row>
    <row r="72" spans="1:5" ht="409.6" x14ac:dyDescent="0.3">
      <c r="A72" s="25" t="s">
        <v>4415</v>
      </c>
      <c r="B72" s="4" t="s">
        <v>745</v>
      </c>
      <c r="C72" s="4" t="s">
        <v>4278</v>
      </c>
      <c r="D72" s="4" t="s">
        <v>4350</v>
      </c>
      <c r="E72" s="4" t="s">
        <v>4343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6EB83-3445-4C55-8E4A-B7EDC492F0D1}">
  <dimension ref="A1:Q115"/>
  <sheetViews>
    <sheetView workbookViewId="0">
      <selection sqref="A1:Q115"/>
    </sheetView>
  </sheetViews>
  <sheetFormatPr defaultRowHeight="14.4" x14ac:dyDescent="0.3"/>
  <sheetData>
    <row r="1" spans="1:17" x14ac:dyDescent="0.3">
      <c r="A1" s="29" t="s">
        <v>3</v>
      </c>
      <c r="B1" s="11" t="s">
        <v>49</v>
      </c>
      <c r="C1" s="11"/>
      <c r="D1" s="11"/>
      <c r="E1" s="11"/>
      <c r="F1" s="11" t="s">
        <v>50</v>
      </c>
      <c r="G1" s="11"/>
      <c r="H1" s="11"/>
      <c r="I1" s="11"/>
      <c r="J1" s="11" t="s">
        <v>51</v>
      </c>
      <c r="K1" s="11"/>
      <c r="L1" s="11"/>
      <c r="M1" s="11"/>
      <c r="N1" s="11" t="s">
        <v>1435</v>
      </c>
      <c r="O1" s="11"/>
      <c r="P1" s="11"/>
      <c r="Q1" s="11"/>
    </row>
    <row r="2" spans="1:17" ht="43.2" x14ac:dyDescent="0.3">
      <c r="A2" s="29" t="s">
        <v>53</v>
      </c>
      <c r="B2" s="29" t="s">
        <v>54</v>
      </c>
      <c r="C2" s="29" t="s">
        <v>55</v>
      </c>
      <c r="D2" s="29" t="s">
        <v>56</v>
      </c>
      <c r="E2" s="29" t="s">
        <v>57</v>
      </c>
      <c r="F2" s="29" t="s">
        <v>54</v>
      </c>
      <c r="G2" s="29" t="s">
        <v>55</v>
      </c>
      <c r="H2" s="29" t="s">
        <v>56</v>
      </c>
      <c r="I2" s="29" t="s">
        <v>57</v>
      </c>
      <c r="J2" s="29" t="s">
        <v>54</v>
      </c>
      <c r="K2" s="29" t="s">
        <v>55</v>
      </c>
      <c r="L2" s="29" t="s">
        <v>56</v>
      </c>
      <c r="M2" s="29" t="s">
        <v>57</v>
      </c>
      <c r="N2" s="29" t="s">
        <v>54</v>
      </c>
      <c r="O2" s="29" t="s">
        <v>55</v>
      </c>
      <c r="P2" s="29" t="s">
        <v>56</v>
      </c>
      <c r="Q2" s="29" t="s">
        <v>57</v>
      </c>
    </row>
    <row r="3" spans="1:17" ht="28.8" x14ac:dyDescent="0.3">
      <c r="A3" s="28" t="s">
        <v>4416</v>
      </c>
      <c r="B3" s="27"/>
      <c r="C3" s="27"/>
      <c r="D3" s="27"/>
      <c r="E3" s="27"/>
      <c r="F3" s="27"/>
      <c r="G3" s="27"/>
      <c r="H3" s="27"/>
      <c r="I3" s="27"/>
      <c r="J3" s="27"/>
      <c r="K3" s="27"/>
      <c r="L3" s="27"/>
      <c r="M3" s="27"/>
      <c r="N3" s="27"/>
      <c r="O3" s="27"/>
      <c r="P3" s="27"/>
      <c r="Q3" s="27"/>
    </row>
    <row r="4" spans="1:17" ht="43.2" x14ac:dyDescent="0.3">
      <c r="A4" s="30" t="s">
        <v>4417</v>
      </c>
      <c r="B4" s="28" t="s">
        <v>4418</v>
      </c>
      <c r="C4" s="28" t="s">
        <v>4419</v>
      </c>
      <c r="D4" s="28" t="s">
        <v>4418</v>
      </c>
      <c r="E4" s="28" t="s">
        <v>62</v>
      </c>
      <c r="F4" s="28" t="s">
        <v>4420</v>
      </c>
      <c r="G4" s="28" t="s">
        <v>4421</v>
      </c>
      <c r="H4" s="28" t="s">
        <v>4420</v>
      </c>
      <c r="I4" s="28" t="s">
        <v>62</v>
      </c>
      <c r="J4" s="28" t="s">
        <v>4422</v>
      </c>
      <c r="K4" s="28" t="s">
        <v>2138</v>
      </c>
      <c r="L4" s="28" t="s">
        <v>4422</v>
      </c>
      <c r="M4" s="28" t="s">
        <v>62</v>
      </c>
      <c r="N4" s="28" t="s">
        <v>4423</v>
      </c>
      <c r="O4" s="28" t="s">
        <v>4424</v>
      </c>
      <c r="P4" s="28" t="s">
        <v>4423</v>
      </c>
      <c r="Q4" s="28" t="s">
        <v>62</v>
      </c>
    </row>
    <row r="5" spans="1:17" x14ac:dyDescent="0.3">
      <c r="A5" s="31" t="s">
        <v>4425</v>
      </c>
      <c r="B5" s="28" t="s">
        <v>4426</v>
      </c>
      <c r="C5" s="28" t="s">
        <v>4427</v>
      </c>
      <c r="D5" s="28" t="s">
        <v>4428</v>
      </c>
      <c r="E5" s="28" t="s">
        <v>107</v>
      </c>
      <c r="F5" s="28" t="s">
        <v>4429</v>
      </c>
      <c r="G5" s="28" t="s">
        <v>4430</v>
      </c>
      <c r="H5" s="28" t="s">
        <v>724</v>
      </c>
      <c r="I5" s="28" t="s">
        <v>153</v>
      </c>
      <c r="J5" s="28" t="s">
        <v>4431</v>
      </c>
      <c r="K5" s="28" t="s">
        <v>4432</v>
      </c>
      <c r="L5" s="28" t="s">
        <v>2280</v>
      </c>
      <c r="M5" s="28" t="s">
        <v>109</v>
      </c>
      <c r="N5" s="28" t="s">
        <v>4433</v>
      </c>
      <c r="O5" s="28" t="s">
        <v>4434</v>
      </c>
      <c r="P5" s="28" t="s">
        <v>4435</v>
      </c>
      <c r="Q5" s="28" t="s">
        <v>103</v>
      </c>
    </row>
    <row r="6" spans="1:17" ht="28.8" x14ac:dyDescent="0.3">
      <c r="A6" s="31" t="s">
        <v>4436</v>
      </c>
      <c r="B6" s="28" t="s">
        <v>4437</v>
      </c>
      <c r="C6" s="28" t="s">
        <v>4438</v>
      </c>
      <c r="D6" s="28" t="s">
        <v>4439</v>
      </c>
      <c r="E6" s="28" t="s">
        <v>107</v>
      </c>
      <c r="F6" s="28" t="s">
        <v>4440</v>
      </c>
      <c r="G6" s="28" t="s">
        <v>4430</v>
      </c>
      <c r="H6" s="28" t="s">
        <v>4441</v>
      </c>
      <c r="I6" s="28" t="s">
        <v>153</v>
      </c>
      <c r="J6" s="28" t="s">
        <v>4442</v>
      </c>
      <c r="K6" s="28" t="s">
        <v>4424</v>
      </c>
      <c r="L6" s="28" t="s">
        <v>4443</v>
      </c>
      <c r="M6" s="28" t="s">
        <v>109</v>
      </c>
      <c r="N6" s="28" t="s">
        <v>4444</v>
      </c>
      <c r="O6" s="28" t="s">
        <v>4445</v>
      </c>
      <c r="P6" s="28" t="s">
        <v>1211</v>
      </c>
      <c r="Q6" s="28" t="s">
        <v>103</v>
      </c>
    </row>
    <row r="7" spans="1:17" ht="100.8" x14ac:dyDescent="0.3">
      <c r="A7" s="31" t="s">
        <v>4446</v>
      </c>
      <c r="B7" s="28" t="s">
        <v>4447</v>
      </c>
      <c r="C7" s="28" t="s">
        <v>2360</v>
      </c>
      <c r="D7" s="28" t="s">
        <v>62</v>
      </c>
      <c r="E7" s="28" t="s">
        <v>62</v>
      </c>
      <c r="F7" s="28" t="s">
        <v>4448</v>
      </c>
      <c r="G7" s="28" t="s">
        <v>100</v>
      </c>
      <c r="H7" s="28" t="s">
        <v>62</v>
      </c>
      <c r="I7" s="28" t="s">
        <v>62</v>
      </c>
      <c r="J7" s="28" t="s">
        <v>4449</v>
      </c>
      <c r="K7" s="28" t="s">
        <v>1418</v>
      </c>
      <c r="L7" s="28" t="s">
        <v>62</v>
      </c>
      <c r="M7" s="28" t="s">
        <v>62</v>
      </c>
      <c r="N7" s="28" t="s">
        <v>4450</v>
      </c>
      <c r="O7" s="28" t="s">
        <v>185</v>
      </c>
      <c r="P7" s="28" t="s">
        <v>62</v>
      </c>
      <c r="Q7" s="28" t="s">
        <v>62</v>
      </c>
    </row>
    <row r="8" spans="1:17" ht="43.2" x14ac:dyDescent="0.3">
      <c r="A8" s="31" t="s">
        <v>4451</v>
      </c>
      <c r="B8" s="28" t="s">
        <v>4452</v>
      </c>
      <c r="C8" s="28" t="s">
        <v>3275</v>
      </c>
      <c r="D8" s="28" t="s">
        <v>487</v>
      </c>
      <c r="E8" s="28" t="s">
        <v>407</v>
      </c>
      <c r="F8" s="28" t="s">
        <v>4453</v>
      </c>
      <c r="G8" s="28" t="s">
        <v>2563</v>
      </c>
      <c r="H8" s="28" t="s">
        <v>206</v>
      </c>
      <c r="I8" s="28" t="s">
        <v>153</v>
      </c>
      <c r="J8" s="28" t="s">
        <v>4454</v>
      </c>
      <c r="K8" s="28" t="s">
        <v>4455</v>
      </c>
      <c r="L8" s="28" t="s">
        <v>348</v>
      </c>
      <c r="M8" s="28" t="s">
        <v>127</v>
      </c>
      <c r="N8" s="28" t="s">
        <v>4456</v>
      </c>
      <c r="O8" s="28" t="s">
        <v>4457</v>
      </c>
      <c r="P8" s="28" t="s">
        <v>355</v>
      </c>
      <c r="Q8" s="28" t="s">
        <v>153</v>
      </c>
    </row>
    <row r="9" spans="1:17" ht="28.8" x14ac:dyDescent="0.3">
      <c r="A9" s="31" t="s">
        <v>4458</v>
      </c>
      <c r="B9" s="28" t="s">
        <v>4459</v>
      </c>
      <c r="C9" s="28" t="s">
        <v>4460</v>
      </c>
      <c r="D9" s="28" t="s">
        <v>1022</v>
      </c>
      <c r="E9" s="28" t="s">
        <v>394</v>
      </c>
      <c r="F9" s="28" t="s">
        <v>4461</v>
      </c>
      <c r="G9" s="28" t="s">
        <v>4462</v>
      </c>
      <c r="H9" s="28" t="s">
        <v>389</v>
      </c>
      <c r="I9" s="28" t="s">
        <v>127</v>
      </c>
      <c r="J9" s="28" t="s">
        <v>4463</v>
      </c>
      <c r="K9" s="28" t="s">
        <v>4464</v>
      </c>
      <c r="L9" s="28" t="s">
        <v>1760</v>
      </c>
      <c r="M9" s="28" t="s">
        <v>100</v>
      </c>
      <c r="N9" s="28" t="s">
        <v>4465</v>
      </c>
      <c r="O9" s="28" t="s">
        <v>4466</v>
      </c>
      <c r="P9" s="28" t="s">
        <v>1108</v>
      </c>
      <c r="Q9" s="28" t="s">
        <v>84</v>
      </c>
    </row>
    <row r="10" spans="1:17" ht="43.2" x14ac:dyDescent="0.3">
      <c r="A10" s="31" t="s">
        <v>4467</v>
      </c>
      <c r="B10" s="28" t="s">
        <v>4468</v>
      </c>
      <c r="C10" s="28" t="s">
        <v>426</v>
      </c>
      <c r="D10" s="28" t="s">
        <v>164</v>
      </c>
      <c r="E10" s="28" t="s">
        <v>617</v>
      </c>
      <c r="F10" s="28" t="s">
        <v>4469</v>
      </c>
      <c r="G10" s="28" t="s">
        <v>4470</v>
      </c>
      <c r="H10" s="28" t="s">
        <v>389</v>
      </c>
      <c r="I10" s="28" t="s">
        <v>127</v>
      </c>
      <c r="J10" s="28" t="s">
        <v>4471</v>
      </c>
      <c r="K10" s="28" t="s">
        <v>4472</v>
      </c>
      <c r="L10" s="28" t="s">
        <v>1022</v>
      </c>
      <c r="M10" s="28" t="s">
        <v>109</v>
      </c>
      <c r="N10" s="28" t="s">
        <v>4473</v>
      </c>
      <c r="O10" s="28" t="s">
        <v>4474</v>
      </c>
      <c r="P10" s="28" t="s">
        <v>265</v>
      </c>
      <c r="Q10" s="28" t="s">
        <v>103</v>
      </c>
    </row>
    <row r="11" spans="1:17" ht="43.2" x14ac:dyDescent="0.3">
      <c r="A11" s="31" t="s">
        <v>4475</v>
      </c>
      <c r="B11" s="28" t="s">
        <v>4476</v>
      </c>
      <c r="C11" s="28" t="s">
        <v>636</v>
      </c>
      <c r="D11" s="28" t="s">
        <v>487</v>
      </c>
      <c r="E11" s="28" t="s">
        <v>73</v>
      </c>
      <c r="F11" s="28" t="s">
        <v>4477</v>
      </c>
      <c r="G11" s="28" t="s">
        <v>3474</v>
      </c>
      <c r="H11" s="28" t="s">
        <v>1029</v>
      </c>
      <c r="I11" s="28" t="s">
        <v>153</v>
      </c>
      <c r="J11" s="28" t="s">
        <v>4478</v>
      </c>
      <c r="K11" s="28" t="s">
        <v>4479</v>
      </c>
      <c r="L11" s="28" t="s">
        <v>164</v>
      </c>
      <c r="M11" s="28" t="s">
        <v>127</v>
      </c>
      <c r="N11" s="28" t="s">
        <v>4480</v>
      </c>
      <c r="O11" s="28" t="s">
        <v>4481</v>
      </c>
      <c r="P11" s="28" t="s">
        <v>265</v>
      </c>
      <c r="Q11" s="28" t="s">
        <v>103</v>
      </c>
    </row>
    <row r="12" spans="1:17" ht="43.2" x14ac:dyDescent="0.3">
      <c r="A12" s="31" t="s">
        <v>4482</v>
      </c>
      <c r="B12" s="28" t="s">
        <v>4483</v>
      </c>
      <c r="C12" s="28" t="s">
        <v>4484</v>
      </c>
      <c r="D12" s="28" t="s">
        <v>203</v>
      </c>
      <c r="E12" s="28" t="s">
        <v>117</v>
      </c>
      <c r="F12" s="28" t="s">
        <v>4485</v>
      </c>
      <c r="G12" s="28" t="s">
        <v>3155</v>
      </c>
      <c r="H12" s="28" t="s">
        <v>659</v>
      </c>
      <c r="I12" s="28" t="s">
        <v>153</v>
      </c>
      <c r="J12" s="28" t="s">
        <v>4486</v>
      </c>
      <c r="K12" s="28" t="s">
        <v>493</v>
      </c>
      <c r="L12" s="28" t="s">
        <v>180</v>
      </c>
      <c r="M12" s="28" t="s">
        <v>127</v>
      </c>
      <c r="N12" s="28" t="s">
        <v>4487</v>
      </c>
      <c r="O12" s="28" t="s">
        <v>4488</v>
      </c>
      <c r="P12" s="28" t="s">
        <v>487</v>
      </c>
      <c r="Q12" s="28" t="s">
        <v>103</v>
      </c>
    </row>
    <row r="13" spans="1:17" ht="43.2" x14ac:dyDescent="0.3">
      <c r="A13" s="31" t="s">
        <v>4489</v>
      </c>
      <c r="B13" s="28" t="s">
        <v>4490</v>
      </c>
      <c r="C13" s="28" t="s">
        <v>4491</v>
      </c>
      <c r="D13" s="28" t="s">
        <v>3505</v>
      </c>
      <c r="E13" s="28" t="s">
        <v>394</v>
      </c>
      <c r="F13" s="28" t="s">
        <v>4492</v>
      </c>
      <c r="G13" s="28" t="s">
        <v>2396</v>
      </c>
      <c r="H13" s="28" t="s">
        <v>891</v>
      </c>
      <c r="I13" s="28" t="s">
        <v>153</v>
      </c>
      <c r="J13" s="28" t="s">
        <v>4493</v>
      </c>
      <c r="K13" s="28" t="s">
        <v>2758</v>
      </c>
      <c r="L13" s="28" t="s">
        <v>1159</v>
      </c>
      <c r="M13" s="28" t="s">
        <v>109</v>
      </c>
      <c r="N13" s="28" t="s">
        <v>4494</v>
      </c>
      <c r="O13" s="28" t="s">
        <v>4495</v>
      </c>
      <c r="P13" s="28" t="s">
        <v>310</v>
      </c>
      <c r="Q13" s="28" t="s">
        <v>103</v>
      </c>
    </row>
    <row r="14" spans="1:17" ht="43.2" x14ac:dyDescent="0.3">
      <c r="A14" s="31" t="s">
        <v>4496</v>
      </c>
      <c r="B14" s="28" t="s">
        <v>4497</v>
      </c>
      <c r="C14" s="28" t="s">
        <v>4498</v>
      </c>
      <c r="D14" s="28" t="s">
        <v>88</v>
      </c>
      <c r="E14" s="28" t="s">
        <v>394</v>
      </c>
      <c r="F14" s="28" t="s">
        <v>4499</v>
      </c>
      <c r="G14" s="28" t="s">
        <v>484</v>
      </c>
      <c r="H14" s="28" t="s">
        <v>285</v>
      </c>
      <c r="I14" s="28" t="s">
        <v>103</v>
      </c>
      <c r="J14" s="28" t="s">
        <v>4500</v>
      </c>
      <c r="K14" s="28" t="s">
        <v>2885</v>
      </c>
      <c r="L14" s="28" t="s">
        <v>433</v>
      </c>
      <c r="M14" s="28" t="s">
        <v>77</v>
      </c>
      <c r="N14" s="28" t="s">
        <v>4501</v>
      </c>
      <c r="O14" s="28" t="s">
        <v>4502</v>
      </c>
      <c r="P14" s="28" t="s">
        <v>439</v>
      </c>
      <c r="Q14" s="28" t="s">
        <v>103</v>
      </c>
    </row>
    <row r="15" spans="1:17" ht="43.2" x14ac:dyDescent="0.3">
      <c r="A15" s="31" t="s">
        <v>4503</v>
      </c>
      <c r="B15" s="28" t="s">
        <v>4504</v>
      </c>
      <c r="C15" s="28" t="s">
        <v>2818</v>
      </c>
      <c r="D15" s="28" t="s">
        <v>436</v>
      </c>
      <c r="E15" s="28" t="s">
        <v>117</v>
      </c>
      <c r="F15" s="28" t="s">
        <v>4505</v>
      </c>
      <c r="G15" s="28" t="s">
        <v>656</v>
      </c>
      <c r="H15" s="28" t="s">
        <v>1720</v>
      </c>
      <c r="I15" s="28" t="s">
        <v>153</v>
      </c>
      <c r="J15" s="28" t="s">
        <v>4506</v>
      </c>
      <c r="K15" s="28" t="s">
        <v>4507</v>
      </c>
      <c r="L15" s="28" t="s">
        <v>325</v>
      </c>
      <c r="M15" s="28" t="s">
        <v>77</v>
      </c>
      <c r="N15" s="28" t="s">
        <v>4508</v>
      </c>
      <c r="O15" s="28" t="s">
        <v>4509</v>
      </c>
      <c r="P15" s="28" t="s">
        <v>140</v>
      </c>
      <c r="Q15" s="28" t="s">
        <v>103</v>
      </c>
    </row>
    <row r="16" spans="1:17" ht="43.2" x14ac:dyDescent="0.3">
      <c r="A16" s="31" t="s">
        <v>4510</v>
      </c>
      <c r="B16" s="28" t="s">
        <v>4511</v>
      </c>
      <c r="C16" s="28" t="s">
        <v>4512</v>
      </c>
      <c r="D16" s="28" t="s">
        <v>235</v>
      </c>
      <c r="E16" s="28" t="s">
        <v>158</v>
      </c>
      <c r="F16" s="28" t="s">
        <v>4513</v>
      </c>
      <c r="G16" s="28" t="s">
        <v>4514</v>
      </c>
      <c r="H16" s="28" t="s">
        <v>174</v>
      </c>
      <c r="I16" s="28" t="s">
        <v>127</v>
      </c>
      <c r="J16" s="28" t="s">
        <v>4515</v>
      </c>
      <c r="K16" s="28" t="s">
        <v>2756</v>
      </c>
      <c r="L16" s="28" t="s">
        <v>338</v>
      </c>
      <c r="M16" s="28" t="s">
        <v>127</v>
      </c>
      <c r="N16" s="28" t="s">
        <v>4516</v>
      </c>
      <c r="O16" s="28" t="s">
        <v>4517</v>
      </c>
      <c r="P16" s="28" t="s">
        <v>1848</v>
      </c>
      <c r="Q16" s="28" t="s">
        <v>84</v>
      </c>
    </row>
    <row r="17" spans="1:17" ht="43.2" x14ac:dyDescent="0.3">
      <c r="A17" s="31" t="s">
        <v>4518</v>
      </c>
      <c r="B17" s="28" t="s">
        <v>4519</v>
      </c>
      <c r="C17" s="28" t="s">
        <v>4520</v>
      </c>
      <c r="D17" s="28" t="s">
        <v>174</v>
      </c>
      <c r="E17" s="28" t="s">
        <v>117</v>
      </c>
      <c r="F17" s="28" t="s">
        <v>4521</v>
      </c>
      <c r="G17" s="28" t="s">
        <v>2692</v>
      </c>
      <c r="H17" s="28" t="s">
        <v>206</v>
      </c>
      <c r="I17" s="28" t="s">
        <v>84</v>
      </c>
      <c r="J17" s="28" t="s">
        <v>4522</v>
      </c>
      <c r="K17" s="28" t="s">
        <v>4523</v>
      </c>
      <c r="L17" s="28" t="s">
        <v>580</v>
      </c>
      <c r="M17" s="28" t="s">
        <v>77</v>
      </c>
      <c r="N17" s="28" t="s">
        <v>4524</v>
      </c>
      <c r="O17" s="28" t="s">
        <v>4525</v>
      </c>
      <c r="P17" s="28" t="s">
        <v>659</v>
      </c>
      <c r="Q17" s="28" t="s">
        <v>103</v>
      </c>
    </row>
    <row r="18" spans="1:17" ht="43.2" x14ac:dyDescent="0.3">
      <c r="A18" s="31" t="s">
        <v>4526</v>
      </c>
      <c r="B18" s="28" t="s">
        <v>4527</v>
      </c>
      <c r="C18" s="28" t="s">
        <v>3158</v>
      </c>
      <c r="D18" s="28" t="s">
        <v>1408</v>
      </c>
      <c r="E18" s="28" t="s">
        <v>185</v>
      </c>
      <c r="F18" s="28" t="s">
        <v>4528</v>
      </c>
      <c r="G18" s="28" t="s">
        <v>1856</v>
      </c>
      <c r="H18" s="28" t="s">
        <v>1414</v>
      </c>
      <c r="I18" s="28" t="s">
        <v>103</v>
      </c>
      <c r="J18" s="28" t="s">
        <v>4529</v>
      </c>
      <c r="K18" s="28" t="s">
        <v>4479</v>
      </c>
      <c r="L18" s="28" t="s">
        <v>386</v>
      </c>
      <c r="M18" s="28" t="s">
        <v>127</v>
      </c>
      <c r="N18" s="28" t="s">
        <v>4530</v>
      </c>
      <c r="O18" s="28" t="s">
        <v>4531</v>
      </c>
      <c r="P18" s="28" t="s">
        <v>1017</v>
      </c>
      <c r="Q18" s="28" t="s">
        <v>153</v>
      </c>
    </row>
    <row r="19" spans="1:17" ht="43.2" x14ac:dyDescent="0.3">
      <c r="A19" s="31" t="s">
        <v>4532</v>
      </c>
      <c r="B19" s="28" t="s">
        <v>4533</v>
      </c>
      <c r="C19" s="28" t="s">
        <v>3604</v>
      </c>
      <c r="D19" s="28" t="s">
        <v>1620</v>
      </c>
      <c r="E19" s="28" t="s">
        <v>109</v>
      </c>
      <c r="F19" s="28" t="s">
        <v>4534</v>
      </c>
      <c r="G19" s="28" t="s">
        <v>1516</v>
      </c>
      <c r="H19" s="28" t="s">
        <v>338</v>
      </c>
      <c r="I19" s="28" t="s">
        <v>103</v>
      </c>
      <c r="J19" s="28" t="s">
        <v>4535</v>
      </c>
      <c r="K19" s="28" t="s">
        <v>4536</v>
      </c>
      <c r="L19" s="28" t="s">
        <v>1510</v>
      </c>
      <c r="M19" s="28" t="s">
        <v>84</v>
      </c>
      <c r="N19" s="28" t="s">
        <v>4537</v>
      </c>
      <c r="O19" s="28" t="s">
        <v>2812</v>
      </c>
      <c r="P19" s="28" t="s">
        <v>1848</v>
      </c>
      <c r="Q19" s="28" t="s">
        <v>153</v>
      </c>
    </row>
    <row r="20" spans="1:17" ht="57.6" x14ac:dyDescent="0.3">
      <c r="A20" s="31" t="s">
        <v>4538</v>
      </c>
      <c r="B20" s="28" t="s">
        <v>4539</v>
      </c>
      <c r="C20" s="28" t="s">
        <v>3865</v>
      </c>
      <c r="D20" s="28" t="s">
        <v>363</v>
      </c>
      <c r="E20" s="28" t="s">
        <v>77</v>
      </c>
      <c r="F20" s="28" t="s">
        <v>4540</v>
      </c>
      <c r="G20" s="28" t="s">
        <v>4541</v>
      </c>
      <c r="H20" s="28" t="s">
        <v>814</v>
      </c>
      <c r="I20" s="28" t="s">
        <v>103</v>
      </c>
      <c r="J20" s="28" t="s">
        <v>4542</v>
      </c>
      <c r="K20" s="28" t="s">
        <v>4543</v>
      </c>
      <c r="L20" s="28" t="s">
        <v>240</v>
      </c>
      <c r="M20" s="28" t="s">
        <v>103</v>
      </c>
      <c r="N20" s="28" t="s">
        <v>4544</v>
      </c>
      <c r="O20" s="28" t="s">
        <v>2447</v>
      </c>
      <c r="P20" s="28" t="s">
        <v>814</v>
      </c>
      <c r="Q20" s="28" t="s">
        <v>153</v>
      </c>
    </row>
    <row r="21" spans="1:17" ht="57.6" x14ac:dyDescent="0.3">
      <c r="A21" s="31" t="s">
        <v>4545</v>
      </c>
      <c r="B21" s="28" t="s">
        <v>4546</v>
      </c>
      <c r="C21" s="28" t="s">
        <v>394</v>
      </c>
      <c r="D21" s="28" t="s">
        <v>62</v>
      </c>
      <c r="E21" s="28" t="s">
        <v>62</v>
      </c>
      <c r="F21" s="28" t="s">
        <v>4547</v>
      </c>
      <c r="G21" s="28" t="s">
        <v>127</v>
      </c>
      <c r="H21" s="28" t="s">
        <v>62</v>
      </c>
      <c r="I21" s="28" t="s">
        <v>62</v>
      </c>
      <c r="J21" s="28" t="s">
        <v>4548</v>
      </c>
      <c r="K21" s="28" t="s">
        <v>100</v>
      </c>
      <c r="L21" s="28" t="s">
        <v>62</v>
      </c>
      <c r="M21" s="28" t="s">
        <v>62</v>
      </c>
      <c r="N21" s="28" t="s">
        <v>4549</v>
      </c>
      <c r="O21" s="28" t="s">
        <v>103</v>
      </c>
      <c r="P21" s="28" t="s">
        <v>62</v>
      </c>
      <c r="Q21" s="28" t="s">
        <v>62</v>
      </c>
    </row>
    <row r="22" spans="1:17" ht="43.2" x14ac:dyDescent="0.3">
      <c r="A22" s="31" t="s">
        <v>4550</v>
      </c>
      <c r="B22" s="28" t="s">
        <v>4551</v>
      </c>
      <c r="C22" s="28" t="s">
        <v>4552</v>
      </c>
      <c r="D22" s="28" t="s">
        <v>1305</v>
      </c>
      <c r="E22" s="28" t="s">
        <v>1074</v>
      </c>
      <c r="F22" s="28" t="s">
        <v>4553</v>
      </c>
      <c r="G22" s="28" t="s">
        <v>4554</v>
      </c>
      <c r="H22" s="28" t="s">
        <v>2283</v>
      </c>
      <c r="I22" s="28" t="s">
        <v>103</v>
      </c>
      <c r="J22" s="28" t="s">
        <v>4555</v>
      </c>
      <c r="K22" s="28" t="s">
        <v>4556</v>
      </c>
      <c r="L22" s="28" t="s">
        <v>981</v>
      </c>
      <c r="M22" s="28" t="s">
        <v>109</v>
      </c>
      <c r="N22" s="28" t="s">
        <v>4557</v>
      </c>
      <c r="O22" s="28" t="s">
        <v>3030</v>
      </c>
      <c r="P22" s="28" t="s">
        <v>1190</v>
      </c>
      <c r="Q22" s="28" t="s">
        <v>153</v>
      </c>
    </row>
    <row r="23" spans="1:17" ht="57.6" x14ac:dyDescent="0.3">
      <c r="A23" s="31" t="s">
        <v>4558</v>
      </c>
      <c r="B23" s="28" t="s">
        <v>4559</v>
      </c>
      <c r="C23" s="28" t="s">
        <v>4560</v>
      </c>
      <c r="D23" s="28" t="s">
        <v>4561</v>
      </c>
      <c r="E23" s="28" t="s">
        <v>1074</v>
      </c>
      <c r="F23" s="28" t="s">
        <v>4562</v>
      </c>
      <c r="G23" s="28" t="s">
        <v>4563</v>
      </c>
      <c r="H23" s="28" t="s">
        <v>4564</v>
      </c>
      <c r="I23" s="28" t="s">
        <v>84</v>
      </c>
      <c r="J23" s="28" t="s">
        <v>4565</v>
      </c>
      <c r="K23" s="28" t="s">
        <v>4566</v>
      </c>
      <c r="L23" s="28" t="s">
        <v>4567</v>
      </c>
      <c r="M23" s="28" t="s">
        <v>158</v>
      </c>
      <c r="N23" s="28" t="s">
        <v>4568</v>
      </c>
      <c r="O23" s="28" t="s">
        <v>4569</v>
      </c>
      <c r="P23" s="28" t="s">
        <v>4570</v>
      </c>
      <c r="Q23" s="28" t="s">
        <v>103</v>
      </c>
    </row>
    <row r="24" spans="1:17" ht="57.6" x14ac:dyDescent="0.3">
      <c r="A24" s="31" t="s">
        <v>4571</v>
      </c>
      <c r="B24" s="28" t="s">
        <v>4572</v>
      </c>
      <c r="C24" s="28" t="s">
        <v>4573</v>
      </c>
      <c r="D24" s="28" t="s">
        <v>4574</v>
      </c>
      <c r="E24" s="28" t="s">
        <v>1074</v>
      </c>
      <c r="F24" s="28" t="s">
        <v>4575</v>
      </c>
      <c r="G24" s="28" t="s">
        <v>4111</v>
      </c>
      <c r="H24" s="28" t="s">
        <v>4576</v>
      </c>
      <c r="I24" s="28" t="s">
        <v>103</v>
      </c>
      <c r="J24" s="28" t="s">
        <v>4577</v>
      </c>
      <c r="K24" s="28" t="s">
        <v>4578</v>
      </c>
      <c r="L24" s="28" t="s">
        <v>4579</v>
      </c>
      <c r="M24" s="28" t="s">
        <v>109</v>
      </c>
      <c r="N24" s="28" t="s">
        <v>4580</v>
      </c>
      <c r="O24" s="28" t="s">
        <v>1854</v>
      </c>
      <c r="P24" s="28" t="s">
        <v>4581</v>
      </c>
      <c r="Q24" s="28" t="s">
        <v>153</v>
      </c>
    </row>
    <row r="25" spans="1:17" ht="57.6" x14ac:dyDescent="0.3">
      <c r="A25" s="31" t="s">
        <v>4582</v>
      </c>
      <c r="B25" s="28" t="s">
        <v>4583</v>
      </c>
      <c r="C25" s="28" t="s">
        <v>4584</v>
      </c>
      <c r="D25" s="28" t="s">
        <v>4585</v>
      </c>
      <c r="E25" s="28" t="s">
        <v>1074</v>
      </c>
      <c r="F25" s="28" t="s">
        <v>4586</v>
      </c>
      <c r="G25" s="28" t="s">
        <v>4587</v>
      </c>
      <c r="H25" s="28" t="s">
        <v>4588</v>
      </c>
      <c r="I25" s="28" t="s">
        <v>84</v>
      </c>
      <c r="J25" s="28" t="s">
        <v>4589</v>
      </c>
      <c r="K25" s="28" t="s">
        <v>4590</v>
      </c>
      <c r="L25" s="28" t="s">
        <v>4591</v>
      </c>
      <c r="M25" s="28" t="s">
        <v>158</v>
      </c>
      <c r="N25" s="28" t="s">
        <v>4592</v>
      </c>
      <c r="O25" s="28" t="s">
        <v>4593</v>
      </c>
      <c r="P25" s="28" t="s">
        <v>4588</v>
      </c>
      <c r="Q25" s="28" t="s">
        <v>103</v>
      </c>
    </row>
    <row r="26" spans="1:17" ht="57.6" x14ac:dyDescent="0.3">
      <c r="A26" s="31" t="s">
        <v>4594</v>
      </c>
      <c r="B26" s="28" t="s">
        <v>4595</v>
      </c>
      <c r="C26" s="28" t="s">
        <v>4596</v>
      </c>
      <c r="D26" s="28" t="s">
        <v>294</v>
      </c>
      <c r="E26" s="28" t="s">
        <v>107</v>
      </c>
      <c r="F26" s="28" t="s">
        <v>4597</v>
      </c>
      <c r="G26" s="28" t="s">
        <v>2690</v>
      </c>
      <c r="H26" s="28" t="s">
        <v>328</v>
      </c>
      <c r="I26" s="28" t="s">
        <v>127</v>
      </c>
      <c r="J26" s="28" t="s">
        <v>4598</v>
      </c>
      <c r="K26" s="28" t="s">
        <v>4599</v>
      </c>
      <c r="L26" s="28" t="s">
        <v>2907</v>
      </c>
      <c r="M26" s="28" t="s">
        <v>109</v>
      </c>
      <c r="N26" s="28" t="s">
        <v>4600</v>
      </c>
      <c r="O26" s="28" t="s">
        <v>4601</v>
      </c>
      <c r="P26" s="28" t="s">
        <v>2171</v>
      </c>
      <c r="Q26" s="28" t="s">
        <v>84</v>
      </c>
    </row>
    <row r="27" spans="1:17" ht="57.6" x14ac:dyDescent="0.3">
      <c r="A27" s="31" t="s">
        <v>4602</v>
      </c>
      <c r="B27" s="28" t="s">
        <v>4603</v>
      </c>
      <c r="C27" s="28" t="s">
        <v>4604</v>
      </c>
      <c r="D27" s="28" t="s">
        <v>275</v>
      </c>
      <c r="E27" s="28" t="s">
        <v>407</v>
      </c>
      <c r="F27" s="28" t="s">
        <v>4605</v>
      </c>
      <c r="G27" s="28" t="s">
        <v>4606</v>
      </c>
      <c r="H27" s="28" t="s">
        <v>307</v>
      </c>
      <c r="I27" s="28" t="s">
        <v>103</v>
      </c>
      <c r="J27" s="28" t="s">
        <v>4607</v>
      </c>
      <c r="K27" s="28" t="s">
        <v>4596</v>
      </c>
      <c r="L27" s="28" t="s">
        <v>307</v>
      </c>
      <c r="M27" s="28" t="s">
        <v>77</v>
      </c>
      <c r="N27" s="28" t="s">
        <v>4608</v>
      </c>
      <c r="O27" s="28" t="s">
        <v>1709</v>
      </c>
      <c r="P27" s="28" t="s">
        <v>895</v>
      </c>
      <c r="Q27" s="28" t="s">
        <v>103</v>
      </c>
    </row>
    <row r="28" spans="1:17" ht="57.6" x14ac:dyDescent="0.3">
      <c r="A28" s="31" t="s">
        <v>4571</v>
      </c>
      <c r="B28" s="28" t="s">
        <v>4572</v>
      </c>
      <c r="C28" s="28" t="s">
        <v>4573</v>
      </c>
      <c r="D28" s="28" t="s">
        <v>4572</v>
      </c>
      <c r="E28" s="28" t="s">
        <v>62</v>
      </c>
      <c r="F28" s="28" t="s">
        <v>4575</v>
      </c>
      <c r="G28" s="28" t="s">
        <v>4111</v>
      </c>
      <c r="H28" s="28" t="s">
        <v>4575</v>
      </c>
      <c r="I28" s="28" t="s">
        <v>62</v>
      </c>
      <c r="J28" s="28" t="s">
        <v>4577</v>
      </c>
      <c r="K28" s="28" t="s">
        <v>4578</v>
      </c>
      <c r="L28" s="28" t="s">
        <v>4577</v>
      </c>
      <c r="M28" s="28" t="s">
        <v>62</v>
      </c>
      <c r="N28" s="28" t="s">
        <v>4580</v>
      </c>
      <c r="O28" s="28" t="s">
        <v>1854</v>
      </c>
      <c r="P28" s="28" t="s">
        <v>4580</v>
      </c>
      <c r="Q28" s="28" t="s">
        <v>62</v>
      </c>
    </row>
    <row r="29" spans="1:17" ht="28.8" x14ac:dyDescent="0.3">
      <c r="A29" s="32" t="s">
        <v>4425</v>
      </c>
      <c r="B29" s="28" t="s">
        <v>4609</v>
      </c>
      <c r="C29" s="28" t="s">
        <v>1835</v>
      </c>
      <c r="D29" s="28" t="s">
        <v>4610</v>
      </c>
      <c r="E29" s="28" t="s">
        <v>394</v>
      </c>
      <c r="F29" s="28" t="s">
        <v>4611</v>
      </c>
      <c r="G29" s="28" t="s">
        <v>4612</v>
      </c>
      <c r="H29" s="28" t="s">
        <v>709</v>
      </c>
      <c r="I29" s="28" t="s">
        <v>103</v>
      </c>
      <c r="J29" s="28" t="s">
        <v>4613</v>
      </c>
      <c r="K29" s="28" t="s">
        <v>4614</v>
      </c>
      <c r="L29" s="28" t="s">
        <v>4615</v>
      </c>
      <c r="M29" s="28" t="s">
        <v>109</v>
      </c>
      <c r="N29" s="28" t="s">
        <v>4616</v>
      </c>
      <c r="O29" s="28" t="s">
        <v>4617</v>
      </c>
      <c r="P29" s="28" t="s">
        <v>4618</v>
      </c>
      <c r="Q29" s="28" t="s">
        <v>103</v>
      </c>
    </row>
    <row r="30" spans="1:17" ht="28.8" x14ac:dyDescent="0.3">
      <c r="A30" s="32" t="s">
        <v>4436</v>
      </c>
      <c r="B30" s="28" t="s">
        <v>4619</v>
      </c>
      <c r="C30" s="28" t="s">
        <v>1135</v>
      </c>
      <c r="D30" s="28" t="s">
        <v>4620</v>
      </c>
      <c r="E30" s="28" t="s">
        <v>394</v>
      </c>
      <c r="F30" s="28" t="s">
        <v>4621</v>
      </c>
      <c r="G30" s="28" t="s">
        <v>4622</v>
      </c>
      <c r="H30" s="28" t="s">
        <v>4623</v>
      </c>
      <c r="I30" s="28" t="s">
        <v>103</v>
      </c>
      <c r="J30" s="28" t="s">
        <v>4624</v>
      </c>
      <c r="K30" s="28" t="s">
        <v>4625</v>
      </c>
      <c r="L30" s="28" t="s">
        <v>4626</v>
      </c>
      <c r="M30" s="28" t="s">
        <v>109</v>
      </c>
      <c r="N30" s="28" t="s">
        <v>4627</v>
      </c>
      <c r="O30" s="28" t="s">
        <v>4628</v>
      </c>
      <c r="P30" s="28" t="s">
        <v>4629</v>
      </c>
      <c r="Q30" s="28" t="s">
        <v>103</v>
      </c>
    </row>
    <row r="31" spans="1:17" ht="115.2" x14ac:dyDescent="0.3">
      <c r="A31" s="32" t="s">
        <v>4446</v>
      </c>
      <c r="B31" s="28" t="s">
        <v>4630</v>
      </c>
      <c r="C31" s="28" t="s">
        <v>2610</v>
      </c>
      <c r="D31" s="28" t="s">
        <v>62</v>
      </c>
      <c r="E31" s="28" t="s">
        <v>62</v>
      </c>
      <c r="F31" s="28" t="s">
        <v>4631</v>
      </c>
      <c r="G31" s="28" t="s">
        <v>100</v>
      </c>
      <c r="H31" s="28" t="s">
        <v>62</v>
      </c>
      <c r="I31" s="28" t="s">
        <v>62</v>
      </c>
      <c r="J31" s="28" t="s">
        <v>4632</v>
      </c>
      <c r="K31" s="28" t="s">
        <v>1507</v>
      </c>
      <c r="L31" s="28" t="s">
        <v>62</v>
      </c>
      <c r="M31" s="28" t="s">
        <v>62</v>
      </c>
      <c r="N31" s="28" t="s">
        <v>4448</v>
      </c>
      <c r="O31" s="28" t="s">
        <v>100</v>
      </c>
      <c r="P31" s="28" t="s">
        <v>62</v>
      </c>
      <c r="Q31" s="28" t="s">
        <v>62</v>
      </c>
    </row>
    <row r="32" spans="1:17" ht="57.6" x14ac:dyDescent="0.3">
      <c r="A32" s="31" t="s">
        <v>4602</v>
      </c>
      <c r="B32" s="28" t="s">
        <v>4603</v>
      </c>
      <c r="C32" s="28" t="s">
        <v>4604</v>
      </c>
      <c r="D32" s="28" t="s">
        <v>4603</v>
      </c>
      <c r="E32" s="28" t="s">
        <v>62</v>
      </c>
      <c r="F32" s="28" t="s">
        <v>4605</v>
      </c>
      <c r="G32" s="28" t="s">
        <v>4606</v>
      </c>
      <c r="H32" s="28" t="s">
        <v>4605</v>
      </c>
      <c r="I32" s="28" t="s">
        <v>62</v>
      </c>
      <c r="J32" s="28" t="s">
        <v>4607</v>
      </c>
      <c r="K32" s="28" t="s">
        <v>4596</v>
      </c>
      <c r="L32" s="28" t="s">
        <v>4607</v>
      </c>
      <c r="M32" s="28" t="s">
        <v>62</v>
      </c>
      <c r="N32" s="28" t="s">
        <v>4608</v>
      </c>
      <c r="O32" s="28" t="s">
        <v>1709</v>
      </c>
      <c r="P32" s="28" t="s">
        <v>4608</v>
      </c>
      <c r="Q32" s="28" t="s">
        <v>62</v>
      </c>
    </row>
    <row r="33" spans="1:17" ht="28.8" x14ac:dyDescent="0.3">
      <c r="A33" s="32" t="s">
        <v>4425</v>
      </c>
      <c r="B33" s="28" t="s">
        <v>4633</v>
      </c>
      <c r="C33" s="28" t="s">
        <v>2187</v>
      </c>
      <c r="D33" s="28" t="s">
        <v>507</v>
      </c>
      <c r="E33" s="28" t="s">
        <v>1058</v>
      </c>
      <c r="F33" s="28" t="s">
        <v>4634</v>
      </c>
      <c r="G33" s="28" t="s">
        <v>3782</v>
      </c>
      <c r="H33" s="28" t="s">
        <v>4635</v>
      </c>
      <c r="I33" s="28" t="s">
        <v>77</v>
      </c>
      <c r="J33" s="28" t="s">
        <v>4636</v>
      </c>
      <c r="K33" s="28" t="s">
        <v>2741</v>
      </c>
      <c r="L33" s="28" t="s">
        <v>1151</v>
      </c>
      <c r="M33" s="28" t="s">
        <v>617</v>
      </c>
      <c r="N33" s="28" t="s">
        <v>4637</v>
      </c>
      <c r="O33" s="28" t="s">
        <v>1981</v>
      </c>
      <c r="P33" s="28" t="s">
        <v>4638</v>
      </c>
      <c r="Q33" s="28" t="s">
        <v>127</v>
      </c>
    </row>
    <row r="34" spans="1:17" ht="28.8" x14ac:dyDescent="0.3">
      <c r="A34" s="32" t="s">
        <v>4436</v>
      </c>
      <c r="B34" s="28" t="s">
        <v>4639</v>
      </c>
      <c r="C34" s="28" t="s">
        <v>4640</v>
      </c>
      <c r="D34" s="28" t="s">
        <v>4641</v>
      </c>
      <c r="E34" s="28" t="s">
        <v>1058</v>
      </c>
      <c r="F34" s="28" t="s">
        <v>4642</v>
      </c>
      <c r="G34" s="28" t="s">
        <v>4643</v>
      </c>
      <c r="H34" s="28" t="s">
        <v>4644</v>
      </c>
      <c r="I34" s="28" t="s">
        <v>77</v>
      </c>
      <c r="J34" s="28" t="s">
        <v>4645</v>
      </c>
      <c r="K34" s="28" t="s">
        <v>1843</v>
      </c>
      <c r="L34" s="28" t="s">
        <v>4646</v>
      </c>
      <c r="M34" s="28" t="s">
        <v>617</v>
      </c>
      <c r="N34" s="28" t="s">
        <v>4647</v>
      </c>
      <c r="O34" s="28" t="s">
        <v>4648</v>
      </c>
      <c r="P34" s="28" t="s">
        <v>4649</v>
      </c>
      <c r="Q34" s="28" t="s">
        <v>127</v>
      </c>
    </row>
    <row r="35" spans="1:17" ht="115.2" x14ac:dyDescent="0.3">
      <c r="A35" s="32" t="s">
        <v>4446</v>
      </c>
      <c r="B35" s="28" t="s">
        <v>4650</v>
      </c>
      <c r="C35" s="28" t="s">
        <v>4651</v>
      </c>
      <c r="D35" s="28" t="s">
        <v>62</v>
      </c>
      <c r="E35" s="28" t="s">
        <v>62</v>
      </c>
      <c r="F35" s="28" t="s">
        <v>4652</v>
      </c>
      <c r="G35" s="28" t="s">
        <v>107</v>
      </c>
      <c r="H35" s="28" t="s">
        <v>62</v>
      </c>
      <c r="I35" s="28" t="s">
        <v>62</v>
      </c>
      <c r="J35" s="28" t="s">
        <v>4653</v>
      </c>
      <c r="K35" s="28" t="s">
        <v>2084</v>
      </c>
      <c r="L35" s="28" t="s">
        <v>62</v>
      </c>
      <c r="M35" s="28" t="s">
        <v>62</v>
      </c>
      <c r="N35" s="28" t="s">
        <v>4654</v>
      </c>
      <c r="O35" s="28" t="s">
        <v>617</v>
      </c>
      <c r="P35" s="28" t="s">
        <v>62</v>
      </c>
      <c r="Q35" s="28" t="s">
        <v>62</v>
      </c>
    </row>
    <row r="36" spans="1:17" x14ac:dyDescent="0.3">
      <c r="A36" s="28" t="s">
        <v>4655</v>
      </c>
      <c r="B36" s="27"/>
      <c r="C36" s="27"/>
      <c r="D36" s="27"/>
      <c r="E36" s="27"/>
      <c r="F36" s="27"/>
      <c r="G36" s="27"/>
      <c r="H36" s="27"/>
      <c r="I36" s="27"/>
      <c r="J36" s="27"/>
      <c r="K36" s="27"/>
      <c r="L36" s="27"/>
      <c r="M36" s="27"/>
      <c r="N36" s="27"/>
      <c r="O36" s="27"/>
      <c r="P36" s="27"/>
      <c r="Q36" s="27"/>
    </row>
    <row r="37" spans="1:17" ht="43.2" x14ac:dyDescent="0.3">
      <c r="A37" s="30" t="s">
        <v>4417</v>
      </c>
      <c r="B37" s="28" t="s">
        <v>4418</v>
      </c>
      <c r="C37" s="28" t="s">
        <v>4419</v>
      </c>
      <c r="D37" s="28" t="s">
        <v>4418</v>
      </c>
      <c r="E37" s="28" t="s">
        <v>62</v>
      </c>
      <c r="F37" s="28" t="s">
        <v>4420</v>
      </c>
      <c r="G37" s="28" t="s">
        <v>4421</v>
      </c>
      <c r="H37" s="28" t="s">
        <v>4420</v>
      </c>
      <c r="I37" s="28" t="s">
        <v>62</v>
      </c>
      <c r="J37" s="28" t="s">
        <v>4422</v>
      </c>
      <c r="K37" s="28" t="s">
        <v>2138</v>
      </c>
      <c r="L37" s="28" t="s">
        <v>4422</v>
      </c>
      <c r="M37" s="28" t="s">
        <v>62</v>
      </c>
      <c r="N37" s="28" t="s">
        <v>4423</v>
      </c>
      <c r="O37" s="28" t="s">
        <v>4424</v>
      </c>
      <c r="P37" s="28" t="s">
        <v>4423</v>
      </c>
      <c r="Q37" s="28" t="s">
        <v>62</v>
      </c>
    </row>
    <row r="38" spans="1:17" ht="28.8" x14ac:dyDescent="0.3">
      <c r="A38" s="31" t="s">
        <v>4656</v>
      </c>
      <c r="B38" s="28" t="s">
        <v>4657</v>
      </c>
      <c r="C38" s="28" t="s">
        <v>4658</v>
      </c>
      <c r="D38" s="28" t="s">
        <v>4659</v>
      </c>
      <c r="E38" s="28" t="s">
        <v>946</v>
      </c>
      <c r="F38" s="28" t="s">
        <v>4660</v>
      </c>
      <c r="G38" s="28" t="s">
        <v>4661</v>
      </c>
      <c r="H38" s="28" t="s">
        <v>4662</v>
      </c>
      <c r="I38" s="28" t="s">
        <v>73</v>
      </c>
      <c r="J38" s="28" t="s">
        <v>4663</v>
      </c>
      <c r="K38" s="28" t="s">
        <v>4664</v>
      </c>
      <c r="L38" s="28" t="s">
        <v>4665</v>
      </c>
      <c r="M38" s="28" t="s">
        <v>73</v>
      </c>
      <c r="N38" s="28" t="s">
        <v>4666</v>
      </c>
      <c r="O38" s="28" t="s">
        <v>4667</v>
      </c>
      <c r="P38" s="28" t="s">
        <v>4668</v>
      </c>
      <c r="Q38" s="28" t="s">
        <v>77</v>
      </c>
    </row>
    <row r="39" spans="1:17" ht="57.6" x14ac:dyDescent="0.3">
      <c r="A39" s="31" t="s">
        <v>4669</v>
      </c>
      <c r="B39" s="28" t="s">
        <v>4670</v>
      </c>
      <c r="C39" s="28" t="s">
        <v>4671</v>
      </c>
      <c r="D39" s="28" t="s">
        <v>1608</v>
      </c>
      <c r="E39" s="28" t="s">
        <v>946</v>
      </c>
      <c r="F39" s="28" t="s">
        <v>4672</v>
      </c>
      <c r="G39" s="28" t="s">
        <v>4673</v>
      </c>
      <c r="H39" s="28" t="s">
        <v>268</v>
      </c>
      <c r="I39" s="28" t="s">
        <v>73</v>
      </c>
      <c r="J39" s="28" t="s">
        <v>4674</v>
      </c>
      <c r="K39" s="28" t="s">
        <v>4664</v>
      </c>
      <c r="L39" s="28" t="s">
        <v>1322</v>
      </c>
      <c r="M39" s="28" t="s">
        <v>73</v>
      </c>
      <c r="N39" s="28" t="s">
        <v>4675</v>
      </c>
      <c r="O39" s="28" t="s">
        <v>4676</v>
      </c>
      <c r="P39" s="28" t="s">
        <v>331</v>
      </c>
      <c r="Q39" s="28" t="s">
        <v>77</v>
      </c>
    </row>
    <row r="40" spans="1:17" ht="28.8" x14ac:dyDescent="0.3">
      <c r="A40" s="31" t="s">
        <v>4656</v>
      </c>
      <c r="B40" s="28" t="s">
        <v>4657</v>
      </c>
      <c r="C40" s="28" t="s">
        <v>4658</v>
      </c>
      <c r="D40" s="28" t="s">
        <v>4659</v>
      </c>
      <c r="E40" s="28" t="s">
        <v>946</v>
      </c>
      <c r="F40" s="28" t="s">
        <v>4660</v>
      </c>
      <c r="G40" s="28" t="s">
        <v>4661</v>
      </c>
      <c r="H40" s="28" t="s">
        <v>4662</v>
      </c>
      <c r="I40" s="28" t="s">
        <v>73</v>
      </c>
      <c r="J40" s="28" t="s">
        <v>4663</v>
      </c>
      <c r="K40" s="28" t="s">
        <v>4664</v>
      </c>
      <c r="L40" s="28" t="s">
        <v>4665</v>
      </c>
      <c r="M40" s="28" t="s">
        <v>73</v>
      </c>
      <c r="N40" s="28" t="s">
        <v>4666</v>
      </c>
      <c r="O40" s="28" t="s">
        <v>4667</v>
      </c>
      <c r="P40" s="28" t="s">
        <v>4668</v>
      </c>
      <c r="Q40" s="28" t="s">
        <v>77</v>
      </c>
    </row>
    <row r="41" spans="1:17" ht="28.8" x14ac:dyDescent="0.3">
      <c r="A41" s="32" t="s">
        <v>4677</v>
      </c>
      <c r="B41" s="28" t="s">
        <v>4678</v>
      </c>
      <c r="C41" s="28" t="s">
        <v>4679</v>
      </c>
      <c r="D41" s="28" t="s">
        <v>4680</v>
      </c>
      <c r="E41" s="28" t="s">
        <v>1653</v>
      </c>
      <c r="F41" s="28" t="s">
        <v>4681</v>
      </c>
      <c r="G41" s="28" t="s">
        <v>4682</v>
      </c>
      <c r="H41" s="28" t="s">
        <v>4683</v>
      </c>
      <c r="I41" s="28" t="s">
        <v>109</v>
      </c>
      <c r="J41" s="28" t="s">
        <v>4684</v>
      </c>
      <c r="K41" s="28" t="s">
        <v>4685</v>
      </c>
      <c r="L41" s="28" t="s">
        <v>698</v>
      </c>
      <c r="M41" s="28" t="s">
        <v>117</v>
      </c>
      <c r="N41" s="28" t="s">
        <v>4686</v>
      </c>
      <c r="O41" s="28" t="s">
        <v>4687</v>
      </c>
      <c r="P41" s="28" t="s">
        <v>558</v>
      </c>
      <c r="Q41" s="28" t="s">
        <v>84</v>
      </c>
    </row>
    <row r="42" spans="1:17" ht="43.2" x14ac:dyDescent="0.3">
      <c r="A42" s="33" t="s">
        <v>4688</v>
      </c>
      <c r="B42" s="28" t="s">
        <v>4689</v>
      </c>
      <c r="C42" s="28" t="s">
        <v>4690</v>
      </c>
      <c r="D42" s="28" t="s">
        <v>223</v>
      </c>
      <c r="E42" s="28" t="s">
        <v>103</v>
      </c>
      <c r="F42" s="28" t="s">
        <v>4691</v>
      </c>
      <c r="G42" s="28" t="s">
        <v>4692</v>
      </c>
      <c r="H42" s="28" t="s">
        <v>756</v>
      </c>
      <c r="I42" s="28" t="s">
        <v>153</v>
      </c>
      <c r="J42" s="28" t="s">
        <v>4281</v>
      </c>
      <c r="K42" s="28" t="s">
        <v>4693</v>
      </c>
      <c r="L42" s="28" t="s">
        <v>226</v>
      </c>
      <c r="M42" s="28" t="s">
        <v>153</v>
      </c>
      <c r="N42" s="28" t="s">
        <v>4694</v>
      </c>
      <c r="O42" s="28" t="s">
        <v>810</v>
      </c>
      <c r="P42" s="28" t="s">
        <v>226</v>
      </c>
      <c r="Q42" s="28" t="s">
        <v>153</v>
      </c>
    </row>
    <row r="43" spans="1:17" ht="43.2" x14ac:dyDescent="0.3">
      <c r="A43" s="33" t="s">
        <v>4695</v>
      </c>
      <c r="B43" s="28" t="s">
        <v>4696</v>
      </c>
      <c r="C43" s="28" t="s">
        <v>4697</v>
      </c>
      <c r="D43" s="28" t="s">
        <v>1037</v>
      </c>
      <c r="E43" s="28" t="s">
        <v>1507</v>
      </c>
      <c r="F43" s="28" t="s">
        <v>4698</v>
      </c>
      <c r="G43" s="28" t="s">
        <v>4699</v>
      </c>
      <c r="H43" s="28" t="s">
        <v>1022</v>
      </c>
      <c r="I43" s="28" t="s">
        <v>158</v>
      </c>
      <c r="J43" s="28" t="s">
        <v>4700</v>
      </c>
      <c r="K43" s="28" t="s">
        <v>4701</v>
      </c>
      <c r="L43" s="28" t="s">
        <v>1510</v>
      </c>
      <c r="M43" s="28" t="s">
        <v>158</v>
      </c>
      <c r="N43" s="28" t="s">
        <v>4702</v>
      </c>
      <c r="O43" s="28" t="s">
        <v>4703</v>
      </c>
      <c r="P43" s="28" t="s">
        <v>1408</v>
      </c>
      <c r="Q43" s="28" t="s">
        <v>100</v>
      </c>
    </row>
    <row r="44" spans="1:17" ht="43.2" x14ac:dyDescent="0.3">
      <c r="A44" s="33" t="s">
        <v>4704</v>
      </c>
      <c r="B44" s="28" t="s">
        <v>4705</v>
      </c>
      <c r="C44" s="28" t="s">
        <v>4706</v>
      </c>
      <c r="D44" s="28" t="s">
        <v>1510</v>
      </c>
      <c r="E44" s="28" t="s">
        <v>946</v>
      </c>
      <c r="F44" s="28" t="s">
        <v>4707</v>
      </c>
      <c r="G44" s="28" t="s">
        <v>4708</v>
      </c>
      <c r="H44" s="28" t="s">
        <v>250</v>
      </c>
      <c r="I44" s="28" t="s">
        <v>127</v>
      </c>
      <c r="J44" s="28" t="s">
        <v>4709</v>
      </c>
      <c r="K44" s="28" t="s">
        <v>4710</v>
      </c>
      <c r="L44" s="28" t="s">
        <v>253</v>
      </c>
      <c r="M44" s="28" t="s">
        <v>84</v>
      </c>
      <c r="N44" s="28" t="s">
        <v>4711</v>
      </c>
      <c r="O44" s="28" t="s">
        <v>4712</v>
      </c>
      <c r="P44" s="28" t="s">
        <v>2042</v>
      </c>
      <c r="Q44" s="28" t="s">
        <v>84</v>
      </c>
    </row>
    <row r="45" spans="1:17" ht="28.8" x14ac:dyDescent="0.3">
      <c r="A45" s="33" t="s">
        <v>4713</v>
      </c>
      <c r="B45" s="28" t="s">
        <v>4714</v>
      </c>
      <c r="C45" s="28" t="s">
        <v>2620</v>
      </c>
      <c r="D45" s="28" t="s">
        <v>149</v>
      </c>
      <c r="E45" s="28" t="s">
        <v>109</v>
      </c>
      <c r="F45" s="28" t="s">
        <v>4715</v>
      </c>
      <c r="G45" s="28" t="s">
        <v>4716</v>
      </c>
      <c r="H45" s="28" t="s">
        <v>256</v>
      </c>
      <c r="I45" s="28" t="s">
        <v>127</v>
      </c>
      <c r="J45" s="28" t="s">
        <v>4717</v>
      </c>
      <c r="K45" s="28" t="s">
        <v>4718</v>
      </c>
      <c r="L45" s="28" t="s">
        <v>811</v>
      </c>
      <c r="M45" s="28" t="s">
        <v>127</v>
      </c>
      <c r="N45" s="28" t="s">
        <v>4719</v>
      </c>
      <c r="O45" s="28" t="s">
        <v>4720</v>
      </c>
      <c r="P45" s="28" t="s">
        <v>360</v>
      </c>
      <c r="Q45" s="28" t="s">
        <v>84</v>
      </c>
    </row>
    <row r="46" spans="1:17" ht="43.2" x14ac:dyDescent="0.3">
      <c r="A46" s="33" t="s">
        <v>4721</v>
      </c>
      <c r="B46" s="28" t="s">
        <v>4722</v>
      </c>
      <c r="C46" s="28" t="s">
        <v>4723</v>
      </c>
      <c r="D46" s="28" t="s">
        <v>797</v>
      </c>
      <c r="E46" s="28" t="s">
        <v>103</v>
      </c>
      <c r="F46" s="28" t="s">
        <v>4724</v>
      </c>
      <c r="G46" s="28" t="s">
        <v>4725</v>
      </c>
      <c r="H46" s="28" t="s">
        <v>131</v>
      </c>
      <c r="I46" s="28" t="s">
        <v>103</v>
      </c>
      <c r="J46" s="28" t="s">
        <v>4726</v>
      </c>
      <c r="K46" s="28" t="s">
        <v>4727</v>
      </c>
      <c r="L46" s="28" t="s">
        <v>803</v>
      </c>
      <c r="M46" s="28" t="s">
        <v>103</v>
      </c>
      <c r="N46" s="28" t="s">
        <v>4728</v>
      </c>
      <c r="O46" s="28" t="s">
        <v>4729</v>
      </c>
      <c r="P46" s="28" t="s">
        <v>363</v>
      </c>
      <c r="Q46" s="28" t="s">
        <v>84</v>
      </c>
    </row>
    <row r="47" spans="1:17" ht="57.6" x14ac:dyDescent="0.3">
      <c r="A47" s="33" t="s">
        <v>4730</v>
      </c>
      <c r="B47" s="28" t="s">
        <v>745</v>
      </c>
      <c r="C47" s="28" t="s">
        <v>1542</v>
      </c>
      <c r="D47" s="28" t="s">
        <v>226</v>
      </c>
      <c r="E47" s="28" t="s">
        <v>153</v>
      </c>
      <c r="F47" s="28" t="s">
        <v>4731</v>
      </c>
      <c r="G47" s="28" t="s">
        <v>786</v>
      </c>
      <c r="H47" s="28" t="s">
        <v>223</v>
      </c>
      <c r="I47" s="28" t="s">
        <v>153</v>
      </c>
      <c r="J47" s="28" t="s">
        <v>771</v>
      </c>
      <c r="K47" s="28" t="s">
        <v>4149</v>
      </c>
      <c r="L47" s="28" t="s">
        <v>226</v>
      </c>
      <c r="M47" s="28" t="s">
        <v>153</v>
      </c>
      <c r="N47" s="28" t="s">
        <v>4732</v>
      </c>
      <c r="O47" s="28" t="s">
        <v>4733</v>
      </c>
      <c r="P47" s="28" t="s">
        <v>226</v>
      </c>
      <c r="Q47" s="28" t="s">
        <v>153</v>
      </c>
    </row>
    <row r="48" spans="1:17" ht="86.4" x14ac:dyDescent="0.3">
      <c r="A48" s="33" t="s">
        <v>4734</v>
      </c>
      <c r="B48" s="28" t="s">
        <v>4735</v>
      </c>
      <c r="C48" s="28" t="s">
        <v>4736</v>
      </c>
      <c r="D48" s="28" t="s">
        <v>4737</v>
      </c>
      <c r="E48" s="28" t="s">
        <v>1653</v>
      </c>
      <c r="F48" s="28" t="s">
        <v>4738</v>
      </c>
      <c r="G48" s="28" t="s">
        <v>4739</v>
      </c>
      <c r="H48" s="28" t="s">
        <v>4126</v>
      </c>
      <c r="I48" s="28" t="s">
        <v>117</v>
      </c>
      <c r="J48" s="28" t="s">
        <v>4740</v>
      </c>
      <c r="K48" s="28" t="s">
        <v>4741</v>
      </c>
      <c r="L48" s="28" t="s">
        <v>1224</v>
      </c>
      <c r="M48" s="28" t="s">
        <v>73</v>
      </c>
      <c r="N48" s="28" t="s">
        <v>4742</v>
      </c>
      <c r="O48" s="28" t="s">
        <v>4743</v>
      </c>
      <c r="P48" s="28" t="s">
        <v>4744</v>
      </c>
      <c r="Q48" s="28" t="s">
        <v>109</v>
      </c>
    </row>
    <row r="49" spans="1:17" ht="100.8" x14ac:dyDescent="0.3">
      <c r="A49" s="32" t="s">
        <v>4745</v>
      </c>
      <c r="B49" s="28" t="s">
        <v>4746</v>
      </c>
      <c r="C49" s="28" t="s">
        <v>4747</v>
      </c>
      <c r="D49" s="28" t="s">
        <v>504</v>
      </c>
      <c r="E49" s="28" t="s">
        <v>1245</v>
      </c>
      <c r="F49" s="28" t="s">
        <v>4748</v>
      </c>
      <c r="G49" s="28" t="s">
        <v>4749</v>
      </c>
      <c r="H49" s="28" t="s">
        <v>1077</v>
      </c>
      <c r="I49" s="28" t="s">
        <v>109</v>
      </c>
      <c r="J49" s="28" t="s">
        <v>4750</v>
      </c>
      <c r="K49" s="28" t="s">
        <v>4751</v>
      </c>
      <c r="L49" s="28" t="s">
        <v>4752</v>
      </c>
      <c r="M49" s="28" t="s">
        <v>407</v>
      </c>
      <c r="N49" s="28" t="s">
        <v>4753</v>
      </c>
      <c r="O49" s="28" t="s">
        <v>4754</v>
      </c>
      <c r="P49" s="28" t="s">
        <v>2074</v>
      </c>
      <c r="Q49" s="28" t="s">
        <v>127</v>
      </c>
    </row>
    <row r="50" spans="1:17" ht="100.8" x14ac:dyDescent="0.3">
      <c r="A50" s="33" t="s">
        <v>4755</v>
      </c>
      <c r="B50" s="28" t="s">
        <v>1895</v>
      </c>
      <c r="C50" s="28" t="s">
        <v>1895</v>
      </c>
      <c r="D50" s="28" t="s">
        <v>1895</v>
      </c>
      <c r="E50" s="28" t="s">
        <v>1895</v>
      </c>
      <c r="F50" s="28" t="s">
        <v>4756</v>
      </c>
      <c r="G50" s="28" t="s">
        <v>4757</v>
      </c>
      <c r="H50" s="28" t="s">
        <v>439</v>
      </c>
      <c r="I50" s="28" t="s">
        <v>617</v>
      </c>
      <c r="J50" s="28" t="s">
        <v>1895</v>
      </c>
      <c r="K50" s="28" t="s">
        <v>1895</v>
      </c>
      <c r="L50" s="28" t="s">
        <v>1895</v>
      </c>
      <c r="M50" s="28" t="s">
        <v>1895</v>
      </c>
      <c r="N50" s="28" t="s">
        <v>4758</v>
      </c>
      <c r="O50" s="28" t="s">
        <v>4759</v>
      </c>
      <c r="P50" s="28" t="s">
        <v>2632</v>
      </c>
      <c r="Q50" s="28" t="s">
        <v>100</v>
      </c>
    </row>
    <row r="51" spans="1:17" ht="57.6" x14ac:dyDescent="0.3">
      <c r="A51" s="33" t="s">
        <v>4760</v>
      </c>
      <c r="B51" s="28" t="s">
        <v>1895</v>
      </c>
      <c r="C51" s="28" t="s">
        <v>1895</v>
      </c>
      <c r="D51" s="28" t="s">
        <v>1895</v>
      </c>
      <c r="E51" s="28" t="s">
        <v>1895</v>
      </c>
      <c r="F51" s="28" t="s">
        <v>4761</v>
      </c>
      <c r="G51" s="28" t="s">
        <v>4762</v>
      </c>
      <c r="H51" s="28" t="s">
        <v>223</v>
      </c>
      <c r="I51" s="28" t="s">
        <v>153</v>
      </c>
      <c r="J51" s="28" t="s">
        <v>1895</v>
      </c>
      <c r="K51" s="28" t="s">
        <v>1895</v>
      </c>
      <c r="L51" s="28" t="s">
        <v>1895</v>
      </c>
      <c r="M51" s="28" t="s">
        <v>1895</v>
      </c>
      <c r="N51" s="28" t="s">
        <v>4763</v>
      </c>
      <c r="O51" s="28" t="s">
        <v>3941</v>
      </c>
      <c r="P51" s="28" t="s">
        <v>223</v>
      </c>
      <c r="Q51" s="28" t="s">
        <v>153</v>
      </c>
    </row>
    <row r="52" spans="1:17" ht="43.2" x14ac:dyDescent="0.3">
      <c r="A52" s="33" t="s">
        <v>4764</v>
      </c>
      <c r="B52" s="28" t="s">
        <v>1895</v>
      </c>
      <c r="C52" s="28" t="s">
        <v>1895</v>
      </c>
      <c r="D52" s="28" t="s">
        <v>1895</v>
      </c>
      <c r="E52" s="28" t="s">
        <v>1895</v>
      </c>
      <c r="F52" s="28" t="s">
        <v>4765</v>
      </c>
      <c r="G52" s="28" t="s">
        <v>4766</v>
      </c>
      <c r="H52" s="28" t="s">
        <v>131</v>
      </c>
      <c r="I52" s="28" t="s">
        <v>73</v>
      </c>
      <c r="J52" s="28" t="s">
        <v>1895</v>
      </c>
      <c r="K52" s="28" t="s">
        <v>1895</v>
      </c>
      <c r="L52" s="28" t="s">
        <v>1895</v>
      </c>
      <c r="M52" s="28" t="s">
        <v>1895</v>
      </c>
      <c r="N52" s="28" t="s">
        <v>4767</v>
      </c>
      <c r="O52" s="28" t="s">
        <v>3035</v>
      </c>
      <c r="P52" s="28" t="s">
        <v>223</v>
      </c>
      <c r="Q52" s="28" t="s">
        <v>153</v>
      </c>
    </row>
    <row r="53" spans="1:17" ht="57.6" x14ac:dyDescent="0.3">
      <c r="A53" s="33" t="s">
        <v>4768</v>
      </c>
      <c r="B53" s="28" t="s">
        <v>1895</v>
      </c>
      <c r="C53" s="28" t="s">
        <v>1895</v>
      </c>
      <c r="D53" s="28" t="s">
        <v>1895</v>
      </c>
      <c r="E53" s="28" t="s">
        <v>1895</v>
      </c>
      <c r="F53" s="28" t="s">
        <v>4769</v>
      </c>
      <c r="G53" s="28" t="s">
        <v>4770</v>
      </c>
      <c r="H53" s="28" t="s">
        <v>718</v>
      </c>
      <c r="I53" s="28" t="s">
        <v>127</v>
      </c>
      <c r="J53" s="28" t="s">
        <v>1895</v>
      </c>
      <c r="K53" s="28" t="s">
        <v>1895</v>
      </c>
      <c r="L53" s="28" t="s">
        <v>1895</v>
      </c>
      <c r="M53" s="28" t="s">
        <v>1895</v>
      </c>
      <c r="N53" s="28" t="s">
        <v>4771</v>
      </c>
      <c r="O53" s="28" t="s">
        <v>4772</v>
      </c>
      <c r="P53" s="28" t="s">
        <v>738</v>
      </c>
      <c r="Q53" s="28" t="s">
        <v>153</v>
      </c>
    </row>
    <row r="54" spans="1:17" ht="43.2" x14ac:dyDescent="0.3">
      <c r="A54" s="33" t="s">
        <v>4773</v>
      </c>
      <c r="B54" s="28" t="s">
        <v>1895</v>
      </c>
      <c r="C54" s="28" t="s">
        <v>1895</v>
      </c>
      <c r="D54" s="28" t="s">
        <v>1895</v>
      </c>
      <c r="E54" s="28" t="s">
        <v>1895</v>
      </c>
      <c r="F54" s="28" t="s">
        <v>4774</v>
      </c>
      <c r="G54" s="28" t="s">
        <v>3941</v>
      </c>
      <c r="H54" s="28" t="s">
        <v>756</v>
      </c>
      <c r="I54" s="28" t="s">
        <v>103</v>
      </c>
      <c r="J54" s="28" t="s">
        <v>1895</v>
      </c>
      <c r="K54" s="28" t="s">
        <v>1895</v>
      </c>
      <c r="L54" s="28" t="s">
        <v>1895</v>
      </c>
      <c r="M54" s="28" t="s">
        <v>1895</v>
      </c>
      <c r="N54" s="28" t="s">
        <v>4775</v>
      </c>
      <c r="O54" s="28" t="s">
        <v>4776</v>
      </c>
      <c r="P54" s="28" t="s">
        <v>756</v>
      </c>
      <c r="Q54" s="28" t="s">
        <v>153</v>
      </c>
    </row>
    <row r="55" spans="1:17" ht="43.2" x14ac:dyDescent="0.3">
      <c r="A55" s="33" t="s">
        <v>4777</v>
      </c>
      <c r="B55" s="28" t="s">
        <v>1895</v>
      </c>
      <c r="C55" s="28" t="s">
        <v>1895</v>
      </c>
      <c r="D55" s="28" t="s">
        <v>1895</v>
      </c>
      <c r="E55" s="28" t="s">
        <v>1895</v>
      </c>
      <c r="F55" s="28" t="s">
        <v>745</v>
      </c>
      <c r="G55" s="28" t="s">
        <v>1916</v>
      </c>
      <c r="H55" s="28" t="s">
        <v>226</v>
      </c>
      <c r="I55" s="28" t="s">
        <v>153</v>
      </c>
      <c r="J55" s="28" t="s">
        <v>1895</v>
      </c>
      <c r="K55" s="28" t="s">
        <v>1895</v>
      </c>
      <c r="L55" s="28" t="s">
        <v>1895</v>
      </c>
      <c r="M55" s="28" t="s">
        <v>1895</v>
      </c>
      <c r="N55" s="28" t="s">
        <v>745</v>
      </c>
      <c r="O55" s="28" t="s">
        <v>1542</v>
      </c>
      <c r="P55" s="28" t="s">
        <v>226</v>
      </c>
      <c r="Q55" s="28" t="s">
        <v>153</v>
      </c>
    </row>
    <row r="56" spans="1:17" ht="187.2" x14ac:dyDescent="0.3">
      <c r="A56" s="33" t="s">
        <v>4778</v>
      </c>
      <c r="B56" s="28" t="s">
        <v>1895</v>
      </c>
      <c r="C56" s="28" t="s">
        <v>1895</v>
      </c>
      <c r="D56" s="28" t="s">
        <v>1895</v>
      </c>
      <c r="E56" s="28" t="s">
        <v>1895</v>
      </c>
      <c r="F56" s="28" t="s">
        <v>4779</v>
      </c>
      <c r="G56" s="28" t="s">
        <v>4780</v>
      </c>
      <c r="H56" s="28" t="s">
        <v>268</v>
      </c>
      <c r="I56" s="28" t="s">
        <v>394</v>
      </c>
      <c r="J56" s="28" t="s">
        <v>1895</v>
      </c>
      <c r="K56" s="28" t="s">
        <v>1895</v>
      </c>
      <c r="L56" s="28" t="s">
        <v>1895</v>
      </c>
      <c r="M56" s="28" t="s">
        <v>1895</v>
      </c>
      <c r="N56" s="28" t="s">
        <v>4781</v>
      </c>
      <c r="O56" s="28" t="s">
        <v>4782</v>
      </c>
      <c r="P56" s="28" t="s">
        <v>278</v>
      </c>
      <c r="Q56" s="28" t="s">
        <v>100</v>
      </c>
    </row>
    <row r="57" spans="1:17" ht="144" x14ac:dyDescent="0.3">
      <c r="A57" s="32" t="s">
        <v>4783</v>
      </c>
      <c r="B57" s="28" t="s">
        <v>4784</v>
      </c>
      <c r="C57" s="28" t="s">
        <v>3439</v>
      </c>
      <c r="D57" s="28" t="s">
        <v>738</v>
      </c>
      <c r="E57" s="28" t="s">
        <v>103</v>
      </c>
      <c r="F57" s="28" t="s">
        <v>4785</v>
      </c>
      <c r="G57" s="28" t="s">
        <v>3344</v>
      </c>
      <c r="H57" s="28" t="s">
        <v>803</v>
      </c>
      <c r="I57" s="28" t="s">
        <v>77</v>
      </c>
      <c r="J57" s="28" t="s">
        <v>4786</v>
      </c>
      <c r="K57" s="28" t="s">
        <v>3583</v>
      </c>
      <c r="L57" s="28" t="s">
        <v>797</v>
      </c>
      <c r="M57" s="28" t="s">
        <v>84</v>
      </c>
      <c r="N57" s="28" t="s">
        <v>4787</v>
      </c>
      <c r="O57" s="28" t="s">
        <v>4788</v>
      </c>
      <c r="P57" s="28" t="s">
        <v>797</v>
      </c>
      <c r="Q57" s="28" t="s">
        <v>153</v>
      </c>
    </row>
    <row r="58" spans="1:17" ht="28.8" x14ac:dyDescent="0.3">
      <c r="A58" s="33" t="s">
        <v>4789</v>
      </c>
      <c r="B58" s="28" t="s">
        <v>1895</v>
      </c>
      <c r="C58" s="28" t="s">
        <v>1895</v>
      </c>
      <c r="D58" s="28" t="s">
        <v>1895</v>
      </c>
      <c r="E58" s="28" t="s">
        <v>1895</v>
      </c>
      <c r="F58" s="28" t="s">
        <v>1895</v>
      </c>
      <c r="G58" s="28" t="s">
        <v>1895</v>
      </c>
      <c r="H58" s="28" t="s">
        <v>1895</v>
      </c>
      <c r="I58" s="28" t="s">
        <v>1895</v>
      </c>
      <c r="J58" s="28" t="s">
        <v>1895</v>
      </c>
      <c r="K58" s="28" t="s">
        <v>1895</v>
      </c>
      <c r="L58" s="28" t="s">
        <v>1895</v>
      </c>
      <c r="M58" s="28" t="s">
        <v>1895</v>
      </c>
      <c r="N58" s="28" t="s">
        <v>1895</v>
      </c>
      <c r="O58" s="28" t="s">
        <v>1895</v>
      </c>
      <c r="P58" s="28" t="s">
        <v>1895</v>
      </c>
      <c r="Q58" s="28" t="s">
        <v>1895</v>
      </c>
    </row>
    <row r="59" spans="1:17" ht="345.6" x14ac:dyDescent="0.3">
      <c r="A59" s="33" t="s">
        <v>4790</v>
      </c>
      <c r="B59" s="28" t="s">
        <v>1895</v>
      </c>
      <c r="C59" s="28" t="s">
        <v>1895</v>
      </c>
      <c r="D59" s="28" t="s">
        <v>1895</v>
      </c>
      <c r="E59" s="28" t="s">
        <v>1895</v>
      </c>
      <c r="F59" s="28" t="s">
        <v>1895</v>
      </c>
      <c r="G59" s="28" t="s">
        <v>1895</v>
      </c>
      <c r="H59" s="28" t="s">
        <v>1895</v>
      </c>
      <c r="I59" s="28" t="s">
        <v>1895</v>
      </c>
      <c r="J59" s="28" t="s">
        <v>1895</v>
      </c>
      <c r="K59" s="28" t="s">
        <v>1895</v>
      </c>
      <c r="L59" s="28" t="s">
        <v>1895</v>
      </c>
      <c r="M59" s="28" t="s">
        <v>1895</v>
      </c>
      <c r="N59" s="28" t="s">
        <v>1895</v>
      </c>
      <c r="O59" s="28" t="s">
        <v>1895</v>
      </c>
      <c r="P59" s="28" t="s">
        <v>1895</v>
      </c>
      <c r="Q59" s="28" t="s">
        <v>1895</v>
      </c>
    </row>
    <row r="60" spans="1:17" ht="43.2" x14ac:dyDescent="0.3">
      <c r="A60" s="33" t="s">
        <v>4791</v>
      </c>
      <c r="B60" s="28" t="s">
        <v>1895</v>
      </c>
      <c r="C60" s="28" t="s">
        <v>1895</v>
      </c>
      <c r="D60" s="28" t="s">
        <v>1895</v>
      </c>
      <c r="E60" s="28" t="s">
        <v>1895</v>
      </c>
      <c r="F60" s="28" t="s">
        <v>1895</v>
      </c>
      <c r="G60" s="28" t="s">
        <v>1895</v>
      </c>
      <c r="H60" s="28" t="s">
        <v>1895</v>
      </c>
      <c r="I60" s="28" t="s">
        <v>1895</v>
      </c>
      <c r="J60" s="28" t="s">
        <v>1895</v>
      </c>
      <c r="K60" s="28" t="s">
        <v>1895</v>
      </c>
      <c r="L60" s="28" t="s">
        <v>1895</v>
      </c>
      <c r="M60" s="28" t="s">
        <v>1895</v>
      </c>
      <c r="N60" s="28" t="s">
        <v>1895</v>
      </c>
      <c r="O60" s="28" t="s">
        <v>1895</v>
      </c>
      <c r="P60" s="28" t="s">
        <v>1895</v>
      </c>
      <c r="Q60" s="28" t="s">
        <v>1895</v>
      </c>
    </row>
    <row r="61" spans="1:17" ht="316.8" x14ac:dyDescent="0.3">
      <c r="A61" s="33" t="s">
        <v>4792</v>
      </c>
      <c r="B61" s="28" t="s">
        <v>1895</v>
      </c>
      <c r="C61" s="28" t="s">
        <v>1895</v>
      </c>
      <c r="D61" s="28" t="s">
        <v>1895</v>
      </c>
      <c r="E61" s="28" t="s">
        <v>1895</v>
      </c>
      <c r="F61" s="28" t="s">
        <v>1895</v>
      </c>
      <c r="G61" s="28" t="s">
        <v>1895</v>
      </c>
      <c r="H61" s="28" t="s">
        <v>1895</v>
      </c>
      <c r="I61" s="28" t="s">
        <v>1895</v>
      </c>
      <c r="J61" s="28" t="s">
        <v>1895</v>
      </c>
      <c r="K61" s="28" t="s">
        <v>1895</v>
      </c>
      <c r="L61" s="28" t="s">
        <v>1895</v>
      </c>
      <c r="M61" s="28" t="s">
        <v>1895</v>
      </c>
      <c r="N61" s="28" t="s">
        <v>1895</v>
      </c>
      <c r="O61" s="28" t="s">
        <v>1895</v>
      </c>
      <c r="P61" s="28" t="s">
        <v>1895</v>
      </c>
      <c r="Q61" s="28" t="s">
        <v>1895</v>
      </c>
    </row>
    <row r="62" spans="1:17" ht="86.4" x14ac:dyDescent="0.3">
      <c r="A62" s="33" t="s">
        <v>4793</v>
      </c>
      <c r="B62" s="28" t="s">
        <v>1895</v>
      </c>
      <c r="C62" s="28" t="s">
        <v>1895</v>
      </c>
      <c r="D62" s="28" t="s">
        <v>1895</v>
      </c>
      <c r="E62" s="28" t="s">
        <v>1895</v>
      </c>
      <c r="F62" s="28" t="s">
        <v>1895</v>
      </c>
      <c r="G62" s="28" t="s">
        <v>1895</v>
      </c>
      <c r="H62" s="28" t="s">
        <v>1895</v>
      </c>
      <c r="I62" s="28" t="s">
        <v>1895</v>
      </c>
      <c r="J62" s="28" t="s">
        <v>1895</v>
      </c>
      <c r="K62" s="28" t="s">
        <v>1895</v>
      </c>
      <c r="L62" s="28" t="s">
        <v>1895</v>
      </c>
      <c r="M62" s="28" t="s">
        <v>1895</v>
      </c>
      <c r="N62" s="28" t="s">
        <v>1895</v>
      </c>
      <c r="O62" s="28" t="s">
        <v>1895</v>
      </c>
      <c r="P62" s="28" t="s">
        <v>1895</v>
      </c>
      <c r="Q62" s="28" t="s">
        <v>1895</v>
      </c>
    </row>
    <row r="63" spans="1:17" ht="158.4" x14ac:dyDescent="0.3">
      <c r="A63" s="33" t="s">
        <v>4794</v>
      </c>
      <c r="B63" s="28" t="s">
        <v>1895</v>
      </c>
      <c r="C63" s="28" t="s">
        <v>1895</v>
      </c>
      <c r="D63" s="28" t="s">
        <v>1895</v>
      </c>
      <c r="E63" s="28" t="s">
        <v>1895</v>
      </c>
      <c r="F63" s="28" t="s">
        <v>1895</v>
      </c>
      <c r="G63" s="28" t="s">
        <v>1895</v>
      </c>
      <c r="H63" s="28" t="s">
        <v>1895</v>
      </c>
      <c r="I63" s="28" t="s">
        <v>1895</v>
      </c>
      <c r="J63" s="28" t="s">
        <v>1895</v>
      </c>
      <c r="K63" s="28" t="s">
        <v>1895</v>
      </c>
      <c r="L63" s="28" t="s">
        <v>1895</v>
      </c>
      <c r="M63" s="28" t="s">
        <v>1895</v>
      </c>
      <c r="N63" s="28" t="s">
        <v>1895</v>
      </c>
      <c r="O63" s="28" t="s">
        <v>1895</v>
      </c>
      <c r="P63" s="28" t="s">
        <v>1895</v>
      </c>
      <c r="Q63" s="28" t="s">
        <v>1895</v>
      </c>
    </row>
    <row r="64" spans="1:17" ht="244.8" x14ac:dyDescent="0.3">
      <c r="A64" s="33" t="s">
        <v>4795</v>
      </c>
      <c r="B64" s="28" t="s">
        <v>1895</v>
      </c>
      <c r="C64" s="28" t="s">
        <v>1895</v>
      </c>
      <c r="D64" s="28" t="s">
        <v>1895</v>
      </c>
      <c r="E64" s="28" t="s">
        <v>1895</v>
      </c>
      <c r="F64" s="28" t="s">
        <v>1895</v>
      </c>
      <c r="G64" s="28" t="s">
        <v>1895</v>
      </c>
      <c r="H64" s="28" t="s">
        <v>1895</v>
      </c>
      <c r="I64" s="28" t="s">
        <v>1895</v>
      </c>
      <c r="J64" s="28" t="s">
        <v>1895</v>
      </c>
      <c r="K64" s="28" t="s">
        <v>1895</v>
      </c>
      <c r="L64" s="28" t="s">
        <v>1895</v>
      </c>
      <c r="M64" s="28" t="s">
        <v>1895</v>
      </c>
      <c r="N64" s="28" t="s">
        <v>1895</v>
      </c>
      <c r="O64" s="28" t="s">
        <v>1895</v>
      </c>
      <c r="P64" s="28" t="s">
        <v>1895</v>
      </c>
      <c r="Q64" s="28" t="s">
        <v>1895</v>
      </c>
    </row>
    <row r="65" spans="1:17" ht="28.8" x14ac:dyDescent="0.3">
      <c r="A65" s="32" t="s">
        <v>4796</v>
      </c>
      <c r="B65" s="28" t="s">
        <v>4797</v>
      </c>
      <c r="C65" s="28" t="s">
        <v>4798</v>
      </c>
      <c r="D65" s="28" t="s">
        <v>219</v>
      </c>
      <c r="E65" s="28" t="s">
        <v>109</v>
      </c>
      <c r="F65" s="28" t="s">
        <v>4799</v>
      </c>
      <c r="G65" s="28" t="s">
        <v>4800</v>
      </c>
      <c r="H65" s="28" t="s">
        <v>2934</v>
      </c>
      <c r="I65" s="28" t="s">
        <v>127</v>
      </c>
      <c r="J65" s="28" t="s">
        <v>4801</v>
      </c>
      <c r="K65" s="28" t="s">
        <v>4802</v>
      </c>
      <c r="L65" s="28" t="s">
        <v>131</v>
      </c>
      <c r="M65" s="28" t="s">
        <v>84</v>
      </c>
      <c r="N65" s="28" t="s">
        <v>4803</v>
      </c>
      <c r="O65" s="28" t="s">
        <v>4804</v>
      </c>
      <c r="P65" s="28" t="s">
        <v>344</v>
      </c>
      <c r="Q65" s="28" t="s">
        <v>103</v>
      </c>
    </row>
    <row r="66" spans="1:17" ht="57.6" x14ac:dyDescent="0.3">
      <c r="A66" s="33" t="s">
        <v>4805</v>
      </c>
      <c r="B66" s="28" t="s">
        <v>4806</v>
      </c>
      <c r="C66" s="28" t="s">
        <v>205</v>
      </c>
      <c r="D66" s="28" t="s">
        <v>210</v>
      </c>
      <c r="E66" s="28" t="s">
        <v>109</v>
      </c>
      <c r="F66" s="28" t="s">
        <v>4807</v>
      </c>
      <c r="G66" s="28" t="s">
        <v>544</v>
      </c>
      <c r="H66" s="28" t="s">
        <v>718</v>
      </c>
      <c r="I66" s="28" t="s">
        <v>103</v>
      </c>
      <c r="J66" s="28" t="s">
        <v>4808</v>
      </c>
      <c r="K66" s="28" t="s">
        <v>1384</v>
      </c>
      <c r="L66" s="28" t="s">
        <v>738</v>
      </c>
      <c r="M66" s="28" t="s">
        <v>103</v>
      </c>
      <c r="N66" s="28" t="s">
        <v>4809</v>
      </c>
      <c r="O66" s="28" t="s">
        <v>4810</v>
      </c>
      <c r="P66" s="28" t="s">
        <v>803</v>
      </c>
      <c r="Q66" s="28" t="s">
        <v>103</v>
      </c>
    </row>
    <row r="67" spans="1:17" ht="43.2" x14ac:dyDescent="0.3">
      <c r="A67" s="33" t="s">
        <v>4811</v>
      </c>
      <c r="B67" s="28" t="s">
        <v>4812</v>
      </c>
      <c r="C67" s="28" t="s">
        <v>146</v>
      </c>
      <c r="D67" s="28" t="s">
        <v>763</v>
      </c>
      <c r="E67" s="28" t="s">
        <v>84</v>
      </c>
      <c r="F67" s="28" t="s">
        <v>4813</v>
      </c>
      <c r="G67" s="28" t="s">
        <v>4814</v>
      </c>
      <c r="H67" s="28" t="s">
        <v>1903</v>
      </c>
      <c r="I67" s="28" t="s">
        <v>84</v>
      </c>
      <c r="J67" s="28" t="s">
        <v>4815</v>
      </c>
      <c r="K67" s="28" t="s">
        <v>4816</v>
      </c>
      <c r="L67" s="28" t="s">
        <v>756</v>
      </c>
      <c r="M67" s="28" t="s">
        <v>153</v>
      </c>
      <c r="N67" s="28" t="s">
        <v>4817</v>
      </c>
      <c r="O67" s="28" t="s">
        <v>4818</v>
      </c>
      <c r="P67" s="28" t="s">
        <v>763</v>
      </c>
      <c r="Q67" s="28" t="s">
        <v>103</v>
      </c>
    </row>
    <row r="68" spans="1:17" ht="43.2" x14ac:dyDescent="0.3">
      <c r="A68" s="33" t="s">
        <v>4819</v>
      </c>
      <c r="B68" s="28" t="s">
        <v>4820</v>
      </c>
      <c r="C68" s="28" t="s">
        <v>717</v>
      </c>
      <c r="D68" s="28" t="s">
        <v>756</v>
      </c>
      <c r="E68" s="28" t="s">
        <v>103</v>
      </c>
      <c r="F68" s="28" t="s">
        <v>4821</v>
      </c>
      <c r="G68" s="28" t="s">
        <v>4106</v>
      </c>
      <c r="H68" s="28" t="s">
        <v>363</v>
      </c>
      <c r="I68" s="28" t="s">
        <v>84</v>
      </c>
      <c r="J68" s="28" t="s">
        <v>4822</v>
      </c>
      <c r="K68" s="28" t="s">
        <v>4823</v>
      </c>
      <c r="L68" s="28" t="s">
        <v>223</v>
      </c>
      <c r="M68" s="28" t="s">
        <v>153</v>
      </c>
      <c r="N68" s="28" t="s">
        <v>4824</v>
      </c>
      <c r="O68" s="28" t="s">
        <v>4825</v>
      </c>
      <c r="P68" s="28" t="s">
        <v>366</v>
      </c>
      <c r="Q68" s="28" t="s">
        <v>103</v>
      </c>
    </row>
    <row r="69" spans="1:17" ht="57.6" x14ac:dyDescent="0.3">
      <c r="A69" s="33" t="s">
        <v>4826</v>
      </c>
      <c r="B69" s="28" t="s">
        <v>745</v>
      </c>
      <c r="C69" s="28" t="s">
        <v>1542</v>
      </c>
      <c r="D69" s="28" t="s">
        <v>226</v>
      </c>
      <c r="E69" s="28" t="s">
        <v>153</v>
      </c>
      <c r="F69" s="28" t="s">
        <v>4827</v>
      </c>
      <c r="G69" s="28" t="s">
        <v>1938</v>
      </c>
      <c r="H69" s="28" t="s">
        <v>223</v>
      </c>
      <c r="I69" s="28" t="s">
        <v>153</v>
      </c>
      <c r="J69" s="28" t="s">
        <v>4828</v>
      </c>
      <c r="K69" s="28" t="s">
        <v>4829</v>
      </c>
      <c r="L69" s="28" t="s">
        <v>223</v>
      </c>
      <c r="M69" s="28" t="s">
        <v>153</v>
      </c>
      <c r="N69" s="28" t="s">
        <v>4830</v>
      </c>
      <c r="O69" s="28" t="s">
        <v>3858</v>
      </c>
      <c r="P69" s="28" t="s">
        <v>223</v>
      </c>
      <c r="Q69" s="28" t="s">
        <v>153</v>
      </c>
    </row>
    <row r="70" spans="1:17" ht="43.2" x14ac:dyDescent="0.3">
      <c r="A70" s="33" t="s">
        <v>4831</v>
      </c>
      <c r="B70" s="28" t="s">
        <v>4832</v>
      </c>
      <c r="C70" s="28" t="s">
        <v>146</v>
      </c>
      <c r="D70" s="28" t="s">
        <v>756</v>
      </c>
      <c r="E70" s="28" t="s">
        <v>84</v>
      </c>
      <c r="F70" s="28" t="s">
        <v>4833</v>
      </c>
      <c r="G70" s="28" t="s">
        <v>1490</v>
      </c>
      <c r="H70" s="28" t="s">
        <v>223</v>
      </c>
      <c r="I70" s="28" t="s">
        <v>153</v>
      </c>
      <c r="J70" s="28" t="s">
        <v>4834</v>
      </c>
      <c r="K70" s="28" t="s">
        <v>4835</v>
      </c>
      <c r="L70" s="28" t="s">
        <v>756</v>
      </c>
      <c r="M70" s="28" t="s">
        <v>153</v>
      </c>
      <c r="N70" s="28" t="s">
        <v>4836</v>
      </c>
      <c r="O70" s="28" t="s">
        <v>3567</v>
      </c>
      <c r="P70" s="28" t="s">
        <v>738</v>
      </c>
      <c r="Q70" s="28" t="s">
        <v>153</v>
      </c>
    </row>
    <row r="71" spans="1:17" ht="72" x14ac:dyDescent="0.3">
      <c r="A71" s="33" t="s">
        <v>4837</v>
      </c>
      <c r="B71" s="28" t="s">
        <v>4838</v>
      </c>
      <c r="C71" s="28" t="s">
        <v>3748</v>
      </c>
      <c r="D71" s="28" t="s">
        <v>756</v>
      </c>
      <c r="E71" s="28" t="s">
        <v>103</v>
      </c>
      <c r="F71" s="28" t="s">
        <v>4839</v>
      </c>
      <c r="G71" s="28" t="s">
        <v>4840</v>
      </c>
      <c r="H71" s="28" t="s">
        <v>1903</v>
      </c>
      <c r="I71" s="28" t="s">
        <v>84</v>
      </c>
      <c r="J71" s="28" t="s">
        <v>3088</v>
      </c>
      <c r="K71" s="28" t="s">
        <v>2536</v>
      </c>
      <c r="L71" s="28" t="s">
        <v>756</v>
      </c>
      <c r="M71" s="28" t="s">
        <v>103</v>
      </c>
      <c r="N71" s="28" t="s">
        <v>4841</v>
      </c>
      <c r="O71" s="28" t="s">
        <v>2768</v>
      </c>
      <c r="P71" s="28" t="s">
        <v>738</v>
      </c>
      <c r="Q71" s="28" t="s">
        <v>153</v>
      </c>
    </row>
    <row r="72" spans="1:17" ht="72" x14ac:dyDescent="0.3">
      <c r="A72" s="33" t="s">
        <v>4842</v>
      </c>
      <c r="B72" s="28" t="s">
        <v>4843</v>
      </c>
      <c r="C72" s="28" t="s">
        <v>2519</v>
      </c>
      <c r="D72" s="28" t="s">
        <v>738</v>
      </c>
      <c r="E72" s="28" t="s">
        <v>103</v>
      </c>
      <c r="F72" s="28" t="s">
        <v>4844</v>
      </c>
      <c r="G72" s="28" t="s">
        <v>4845</v>
      </c>
      <c r="H72" s="28" t="s">
        <v>818</v>
      </c>
      <c r="I72" s="28" t="s">
        <v>127</v>
      </c>
      <c r="J72" s="28" t="s">
        <v>4846</v>
      </c>
      <c r="K72" s="28" t="s">
        <v>3948</v>
      </c>
      <c r="L72" s="28" t="s">
        <v>797</v>
      </c>
      <c r="M72" s="28" t="s">
        <v>103</v>
      </c>
      <c r="N72" s="28" t="s">
        <v>4847</v>
      </c>
      <c r="O72" s="28" t="s">
        <v>2766</v>
      </c>
      <c r="P72" s="28" t="s">
        <v>797</v>
      </c>
      <c r="Q72" s="28" t="s">
        <v>153</v>
      </c>
    </row>
    <row r="73" spans="1:17" ht="158.4" x14ac:dyDescent="0.3">
      <c r="A73" s="32" t="s">
        <v>4848</v>
      </c>
      <c r="B73" s="28" t="s">
        <v>4849</v>
      </c>
      <c r="C73" s="28" t="s">
        <v>762</v>
      </c>
      <c r="D73" s="28" t="s">
        <v>223</v>
      </c>
      <c r="E73" s="28" t="s">
        <v>103</v>
      </c>
      <c r="F73" s="28" t="s">
        <v>4850</v>
      </c>
      <c r="G73" s="28" t="s">
        <v>4851</v>
      </c>
      <c r="H73" s="28" t="s">
        <v>223</v>
      </c>
      <c r="I73" s="28" t="s">
        <v>153</v>
      </c>
      <c r="J73" s="28" t="s">
        <v>4383</v>
      </c>
      <c r="K73" s="28" t="s">
        <v>4852</v>
      </c>
      <c r="L73" s="28" t="s">
        <v>223</v>
      </c>
      <c r="M73" s="28" t="s">
        <v>153</v>
      </c>
      <c r="N73" s="28" t="s">
        <v>4853</v>
      </c>
      <c r="O73" s="28" t="s">
        <v>3572</v>
      </c>
      <c r="P73" s="28" t="s">
        <v>223</v>
      </c>
      <c r="Q73" s="28" t="s">
        <v>153</v>
      </c>
    </row>
    <row r="74" spans="1:17" ht="57.6" x14ac:dyDescent="0.3">
      <c r="A74" s="33" t="s">
        <v>4854</v>
      </c>
      <c r="B74" s="28" t="s">
        <v>1895</v>
      </c>
      <c r="C74" s="28" t="s">
        <v>1895</v>
      </c>
      <c r="D74" s="28" t="s">
        <v>1895</v>
      </c>
      <c r="E74" s="28" t="s">
        <v>1895</v>
      </c>
      <c r="F74" s="28" t="s">
        <v>1895</v>
      </c>
      <c r="G74" s="28" t="s">
        <v>1895</v>
      </c>
      <c r="H74" s="28" t="s">
        <v>1895</v>
      </c>
      <c r="I74" s="28" t="s">
        <v>1895</v>
      </c>
      <c r="J74" s="28" t="s">
        <v>1895</v>
      </c>
      <c r="K74" s="28" t="s">
        <v>1895</v>
      </c>
      <c r="L74" s="28" t="s">
        <v>1895</v>
      </c>
      <c r="M74" s="28" t="s">
        <v>1895</v>
      </c>
      <c r="N74" s="28" t="s">
        <v>1895</v>
      </c>
      <c r="O74" s="28" t="s">
        <v>1895</v>
      </c>
      <c r="P74" s="28" t="s">
        <v>1895</v>
      </c>
      <c r="Q74" s="28" t="s">
        <v>1895</v>
      </c>
    </row>
    <row r="75" spans="1:17" ht="100.8" x14ac:dyDescent="0.3">
      <c r="A75" s="33" t="s">
        <v>4855</v>
      </c>
      <c r="B75" s="28" t="s">
        <v>1895</v>
      </c>
      <c r="C75" s="28" t="s">
        <v>1895</v>
      </c>
      <c r="D75" s="28" t="s">
        <v>1895</v>
      </c>
      <c r="E75" s="28" t="s">
        <v>1895</v>
      </c>
      <c r="F75" s="28" t="s">
        <v>1895</v>
      </c>
      <c r="G75" s="28" t="s">
        <v>1895</v>
      </c>
      <c r="H75" s="28" t="s">
        <v>1895</v>
      </c>
      <c r="I75" s="28" t="s">
        <v>1895</v>
      </c>
      <c r="J75" s="28" t="s">
        <v>1895</v>
      </c>
      <c r="K75" s="28" t="s">
        <v>1895</v>
      </c>
      <c r="L75" s="28" t="s">
        <v>1895</v>
      </c>
      <c r="M75" s="28" t="s">
        <v>1895</v>
      </c>
      <c r="N75" s="28" t="s">
        <v>1895</v>
      </c>
      <c r="O75" s="28" t="s">
        <v>1895</v>
      </c>
      <c r="P75" s="28" t="s">
        <v>1895</v>
      </c>
      <c r="Q75" s="28" t="s">
        <v>1895</v>
      </c>
    </row>
    <row r="76" spans="1:17" ht="57.6" x14ac:dyDescent="0.3">
      <c r="A76" s="33" t="s">
        <v>4856</v>
      </c>
      <c r="B76" s="28" t="s">
        <v>1895</v>
      </c>
      <c r="C76" s="28" t="s">
        <v>1895</v>
      </c>
      <c r="D76" s="28" t="s">
        <v>1895</v>
      </c>
      <c r="E76" s="28" t="s">
        <v>1895</v>
      </c>
      <c r="F76" s="28" t="s">
        <v>1895</v>
      </c>
      <c r="G76" s="28" t="s">
        <v>1895</v>
      </c>
      <c r="H76" s="28" t="s">
        <v>1895</v>
      </c>
      <c r="I76" s="28" t="s">
        <v>1895</v>
      </c>
      <c r="J76" s="28" t="s">
        <v>1895</v>
      </c>
      <c r="K76" s="28" t="s">
        <v>1895</v>
      </c>
      <c r="L76" s="28" t="s">
        <v>1895</v>
      </c>
      <c r="M76" s="28" t="s">
        <v>1895</v>
      </c>
      <c r="N76" s="28" t="s">
        <v>1895</v>
      </c>
      <c r="O76" s="28" t="s">
        <v>1895</v>
      </c>
      <c r="P76" s="28" t="s">
        <v>1895</v>
      </c>
      <c r="Q76" s="28" t="s">
        <v>1895</v>
      </c>
    </row>
    <row r="77" spans="1:17" ht="316.8" x14ac:dyDescent="0.3">
      <c r="A77" s="33" t="s">
        <v>4857</v>
      </c>
      <c r="B77" s="28" t="s">
        <v>1895</v>
      </c>
      <c r="C77" s="28" t="s">
        <v>1895</v>
      </c>
      <c r="D77" s="28" t="s">
        <v>1895</v>
      </c>
      <c r="E77" s="28" t="s">
        <v>1895</v>
      </c>
      <c r="F77" s="28" t="s">
        <v>1895</v>
      </c>
      <c r="G77" s="28" t="s">
        <v>1895</v>
      </c>
      <c r="H77" s="28" t="s">
        <v>1895</v>
      </c>
      <c r="I77" s="28" t="s">
        <v>1895</v>
      </c>
      <c r="J77" s="28" t="s">
        <v>1895</v>
      </c>
      <c r="K77" s="28" t="s">
        <v>1895</v>
      </c>
      <c r="L77" s="28" t="s">
        <v>1895</v>
      </c>
      <c r="M77" s="28" t="s">
        <v>1895</v>
      </c>
      <c r="N77" s="28" t="s">
        <v>1895</v>
      </c>
      <c r="O77" s="28" t="s">
        <v>1895</v>
      </c>
      <c r="P77" s="28" t="s">
        <v>1895</v>
      </c>
      <c r="Q77" s="28" t="s">
        <v>1895</v>
      </c>
    </row>
    <row r="78" spans="1:17" ht="86.4" x14ac:dyDescent="0.3">
      <c r="A78" s="32" t="s">
        <v>4858</v>
      </c>
      <c r="B78" s="28" t="s">
        <v>4859</v>
      </c>
      <c r="C78" s="28" t="s">
        <v>4860</v>
      </c>
      <c r="D78" s="28" t="s">
        <v>1510</v>
      </c>
      <c r="E78" s="28" t="s">
        <v>664</v>
      </c>
      <c r="F78" s="28" t="s">
        <v>4861</v>
      </c>
      <c r="G78" s="28" t="s">
        <v>4862</v>
      </c>
      <c r="H78" s="28" t="s">
        <v>360</v>
      </c>
      <c r="I78" s="28" t="s">
        <v>100</v>
      </c>
      <c r="J78" s="28" t="s">
        <v>4863</v>
      </c>
      <c r="K78" s="28" t="s">
        <v>4864</v>
      </c>
      <c r="L78" s="28" t="s">
        <v>355</v>
      </c>
      <c r="M78" s="28" t="s">
        <v>117</v>
      </c>
      <c r="N78" s="28" t="s">
        <v>4865</v>
      </c>
      <c r="O78" s="28" t="s">
        <v>4866</v>
      </c>
      <c r="P78" s="28" t="s">
        <v>250</v>
      </c>
      <c r="Q78" s="28" t="s">
        <v>84</v>
      </c>
    </row>
    <row r="79" spans="1:17" ht="57.6" x14ac:dyDescent="0.3">
      <c r="A79" s="31" t="s">
        <v>4669</v>
      </c>
      <c r="B79" s="28" t="s">
        <v>4670</v>
      </c>
      <c r="C79" s="28" t="s">
        <v>4671</v>
      </c>
      <c r="D79" s="28" t="s">
        <v>1608</v>
      </c>
      <c r="E79" s="28" t="s">
        <v>946</v>
      </c>
      <c r="F79" s="28" t="s">
        <v>4672</v>
      </c>
      <c r="G79" s="28" t="s">
        <v>4673</v>
      </c>
      <c r="H79" s="28" t="s">
        <v>268</v>
      </c>
      <c r="I79" s="28" t="s">
        <v>73</v>
      </c>
      <c r="J79" s="28" t="s">
        <v>4674</v>
      </c>
      <c r="K79" s="28" t="s">
        <v>4664</v>
      </c>
      <c r="L79" s="28" t="s">
        <v>1322</v>
      </c>
      <c r="M79" s="28" t="s">
        <v>73</v>
      </c>
      <c r="N79" s="28" t="s">
        <v>4675</v>
      </c>
      <c r="O79" s="28" t="s">
        <v>4676</v>
      </c>
      <c r="P79" s="28" t="s">
        <v>331</v>
      </c>
      <c r="Q79" s="28" t="s">
        <v>77</v>
      </c>
    </row>
    <row r="80" spans="1:17" ht="144" x14ac:dyDescent="0.3">
      <c r="A80" s="32" t="s">
        <v>4867</v>
      </c>
      <c r="B80" s="28" t="s">
        <v>4868</v>
      </c>
      <c r="C80" s="28" t="s">
        <v>589</v>
      </c>
      <c r="D80" s="28" t="s">
        <v>240</v>
      </c>
      <c r="E80" s="28" t="s">
        <v>109</v>
      </c>
      <c r="F80" s="28" t="s">
        <v>4869</v>
      </c>
      <c r="G80" s="28" t="s">
        <v>4870</v>
      </c>
      <c r="H80" s="28" t="s">
        <v>363</v>
      </c>
      <c r="I80" s="28" t="s">
        <v>127</v>
      </c>
      <c r="J80" s="28" t="s">
        <v>4871</v>
      </c>
      <c r="K80" s="28" t="s">
        <v>4872</v>
      </c>
      <c r="L80" s="28" t="s">
        <v>718</v>
      </c>
      <c r="M80" s="28" t="s">
        <v>84</v>
      </c>
      <c r="N80" s="28" t="s">
        <v>4873</v>
      </c>
      <c r="O80" s="28" t="s">
        <v>4874</v>
      </c>
      <c r="P80" s="28" t="s">
        <v>743</v>
      </c>
      <c r="Q80" s="28" t="s">
        <v>84</v>
      </c>
    </row>
    <row r="81" spans="1:17" ht="187.2" x14ac:dyDescent="0.3">
      <c r="A81" s="32" t="s">
        <v>4875</v>
      </c>
      <c r="B81" s="28" t="s">
        <v>4876</v>
      </c>
      <c r="C81" s="28" t="s">
        <v>4877</v>
      </c>
      <c r="D81" s="28" t="s">
        <v>797</v>
      </c>
      <c r="E81" s="28" t="s">
        <v>103</v>
      </c>
      <c r="F81" s="28" t="s">
        <v>4878</v>
      </c>
      <c r="G81" s="28" t="s">
        <v>4879</v>
      </c>
      <c r="H81" s="28" t="s">
        <v>763</v>
      </c>
      <c r="I81" s="28" t="s">
        <v>153</v>
      </c>
      <c r="J81" s="28" t="s">
        <v>4880</v>
      </c>
      <c r="K81" s="28" t="s">
        <v>4881</v>
      </c>
      <c r="L81" s="28" t="s">
        <v>756</v>
      </c>
      <c r="M81" s="28" t="s">
        <v>153</v>
      </c>
      <c r="N81" s="28" t="s">
        <v>4882</v>
      </c>
      <c r="O81" s="28" t="s">
        <v>4883</v>
      </c>
      <c r="P81" s="28" t="s">
        <v>803</v>
      </c>
      <c r="Q81" s="28" t="s">
        <v>153</v>
      </c>
    </row>
    <row r="82" spans="1:17" ht="72" x14ac:dyDescent="0.3">
      <c r="A82" s="32" t="s">
        <v>4884</v>
      </c>
      <c r="B82" s="28" t="s">
        <v>4885</v>
      </c>
      <c r="C82" s="28" t="s">
        <v>4886</v>
      </c>
      <c r="D82" s="28" t="s">
        <v>216</v>
      </c>
      <c r="E82" s="28" t="s">
        <v>100</v>
      </c>
      <c r="F82" s="28" t="s">
        <v>4887</v>
      </c>
      <c r="G82" s="28" t="s">
        <v>4888</v>
      </c>
      <c r="H82" s="28" t="s">
        <v>240</v>
      </c>
      <c r="I82" s="28" t="s">
        <v>127</v>
      </c>
      <c r="J82" s="28" t="s">
        <v>4889</v>
      </c>
      <c r="K82" s="28" t="s">
        <v>4890</v>
      </c>
      <c r="L82" s="28" t="s">
        <v>763</v>
      </c>
      <c r="M82" s="28" t="s">
        <v>84</v>
      </c>
      <c r="N82" s="28" t="s">
        <v>4891</v>
      </c>
      <c r="O82" s="28" t="s">
        <v>4892</v>
      </c>
      <c r="P82" s="28" t="s">
        <v>131</v>
      </c>
      <c r="Q82" s="28" t="s">
        <v>103</v>
      </c>
    </row>
    <row r="83" spans="1:17" ht="129.6" x14ac:dyDescent="0.3">
      <c r="A83" s="32" t="s">
        <v>4893</v>
      </c>
      <c r="B83" s="28" t="s">
        <v>4894</v>
      </c>
      <c r="C83" s="28" t="s">
        <v>4895</v>
      </c>
      <c r="D83" s="28" t="s">
        <v>1510</v>
      </c>
      <c r="E83" s="28" t="s">
        <v>394</v>
      </c>
      <c r="F83" s="28" t="s">
        <v>4896</v>
      </c>
      <c r="G83" s="28" t="s">
        <v>4897</v>
      </c>
      <c r="H83" s="28" t="s">
        <v>164</v>
      </c>
      <c r="I83" s="28" t="s">
        <v>158</v>
      </c>
      <c r="J83" s="28" t="s">
        <v>4898</v>
      </c>
      <c r="K83" s="28" t="s">
        <v>4899</v>
      </c>
      <c r="L83" s="28" t="s">
        <v>250</v>
      </c>
      <c r="M83" s="28" t="s">
        <v>158</v>
      </c>
      <c r="N83" s="28" t="s">
        <v>4900</v>
      </c>
      <c r="O83" s="28" t="s">
        <v>4901</v>
      </c>
      <c r="P83" s="28" t="s">
        <v>250</v>
      </c>
      <c r="Q83" s="28" t="s">
        <v>84</v>
      </c>
    </row>
    <row r="84" spans="1:17" ht="259.2" x14ac:dyDescent="0.3">
      <c r="A84" s="32" t="s">
        <v>4902</v>
      </c>
      <c r="B84" s="28" t="s">
        <v>4903</v>
      </c>
      <c r="C84" s="28" t="s">
        <v>2164</v>
      </c>
      <c r="D84" s="28" t="s">
        <v>797</v>
      </c>
      <c r="E84" s="28" t="s">
        <v>77</v>
      </c>
      <c r="F84" s="28" t="s">
        <v>4904</v>
      </c>
      <c r="G84" s="28" t="s">
        <v>4905</v>
      </c>
      <c r="H84" s="28" t="s">
        <v>738</v>
      </c>
      <c r="I84" s="28" t="s">
        <v>103</v>
      </c>
      <c r="J84" s="28" t="s">
        <v>4906</v>
      </c>
      <c r="K84" s="28" t="s">
        <v>4907</v>
      </c>
      <c r="L84" s="28" t="s">
        <v>797</v>
      </c>
      <c r="M84" s="28" t="s">
        <v>84</v>
      </c>
      <c r="N84" s="28" t="s">
        <v>4908</v>
      </c>
      <c r="O84" s="28" t="s">
        <v>4909</v>
      </c>
      <c r="P84" s="28" t="s">
        <v>756</v>
      </c>
      <c r="Q84" s="28" t="s">
        <v>153</v>
      </c>
    </row>
    <row r="85" spans="1:17" ht="201.6" x14ac:dyDescent="0.3">
      <c r="A85" s="32" t="s">
        <v>4910</v>
      </c>
      <c r="B85" s="28" t="s">
        <v>4911</v>
      </c>
      <c r="C85" s="28" t="s">
        <v>4912</v>
      </c>
      <c r="D85" s="28" t="s">
        <v>738</v>
      </c>
      <c r="E85" s="28" t="s">
        <v>84</v>
      </c>
      <c r="F85" s="28" t="s">
        <v>4913</v>
      </c>
      <c r="G85" s="28" t="s">
        <v>4914</v>
      </c>
      <c r="H85" s="28" t="s">
        <v>803</v>
      </c>
      <c r="I85" s="28" t="s">
        <v>103</v>
      </c>
      <c r="J85" s="28" t="s">
        <v>4915</v>
      </c>
      <c r="K85" s="28" t="s">
        <v>4916</v>
      </c>
      <c r="L85" s="28" t="s">
        <v>223</v>
      </c>
      <c r="M85" s="28" t="s">
        <v>103</v>
      </c>
      <c r="N85" s="28" t="s">
        <v>4917</v>
      </c>
      <c r="O85" s="28" t="s">
        <v>4918</v>
      </c>
      <c r="P85" s="28" t="s">
        <v>797</v>
      </c>
      <c r="Q85" s="28" t="s">
        <v>103</v>
      </c>
    </row>
    <row r="86" spans="1:17" ht="129.6" x14ac:dyDescent="0.3">
      <c r="A86" s="28" t="s">
        <v>4919</v>
      </c>
      <c r="B86" s="27"/>
      <c r="C86" s="27"/>
      <c r="D86" s="27"/>
      <c r="E86" s="27"/>
      <c r="F86" s="27"/>
      <c r="G86" s="27"/>
      <c r="H86" s="27"/>
      <c r="I86" s="27"/>
      <c r="J86" s="27"/>
      <c r="K86" s="27"/>
      <c r="L86" s="27"/>
      <c r="M86" s="27"/>
      <c r="N86" s="27"/>
      <c r="O86" s="27"/>
      <c r="P86" s="27"/>
      <c r="Q86" s="27"/>
    </row>
    <row r="87" spans="1:17" ht="43.2" x14ac:dyDescent="0.3">
      <c r="A87" s="30" t="s">
        <v>4417</v>
      </c>
      <c r="B87" s="28" t="s">
        <v>4418</v>
      </c>
      <c r="C87" s="28" t="s">
        <v>4419</v>
      </c>
      <c r="D87" s="28" t="s">
        <v>4418</v>
      </c>
      <c r="E87" s="28" t="s">
        <v>62</v>
      </c>
      <c r="F87" s="28" t="s">
        <v>4420</v>
      </c>
      <c r="G87" s="28" t="s">
        <v>4421</v>
      </c>
      <c r="H87" s="28" t="s">
        <v>4420</v>
      </c>
      <c r="I87" s="28" t="s">
        <v>62</v>
      </c>
      <c r="J87" s="28" t="s">
        <v>4422</v>
      </c>
      <c r="K87" s="28" t="s">
        <v>2138</v>
      </c>
      <c r="L87" s="28" t="s">
        <v>4422</v>
      </c>
      <c r="M87" s="28" t="s">
        <v>62</v>
      </c>
      <c r="N87" s="28" t="s">
        <v>4423</v>
      </c>
      <c r="O87" s="28" t="s">
        <v>4424</v>
      </c>
      <c r="P87" s="28" t="s">
        <v>4423</v>
      </c>
      <c r="Q87" s="28" t="s">
        <v>62</v>
      </c>
    </row>
    <row r="88" spans="1:17" x14ac:dyDescent="0.3">
      <c r="A88" s="31" t="s">
        <v>4677</v>
      </c>
      <c r="B88" s="28" t="s">
        <v>4920</v>
      </c>
      <c r="C88" s="28" t="s">
        <v>4921</v>
      </c>
      <c r="D88" s="28" t="s">
        <v>4922</v>
      </c>
      <c r="E88" s="28" t="s">
        <v>1471</v>
      </c>
      <c r="F88" s="28" t="s">
        <v>4923</v>
      </c>
      <c r="G88" s="28" t="s">
        <v>4924</v>
      </c>
      <c r="H88" s="28" t="s">
        <v>4925</v>
      </c>
      <c r="I88" s="28" t="s">
        <v>158</v>
      </c>
      <c r="J88" s="28" t="s">
        <v>4926</v>
      </c>
      <c r="K88" s="28" t="s">
        <v>4927</v>
      </c>
      <c r="L88" s="28" t="s">
        <v>4928</v>
      </c>
      <c r="M88" s="28" t="s">
        <v>107</v>
      </c>
      <c r="N88" s="28" t="s">
        <v>4929</v>
      </c>
      <c r="O88" s="28" t="s">
        <v>4930</v>
      </c>
      <c r="P88" s="28" t="s">
        <v>4931</v>
      </c>
      <c r="Q88" s="28" t="s">
        <v>77</v>
      </c>
    </row>
    <row r="89" spans="1:17" ht="86.4" x14ac:dyDescent="0.3">
      <c r="A89" s="31" t="s">
        <v>4745</v>
      </c>
      <c r="B89" s="28" t="s">
        <v>4932</v>
      </c>
      <c r="C89" s="28" t="s">
        <v>4933</v>
      </c>
      <c r="D89" s="28" t="s">
        <v>4934</v>
      </c>
      <c r="E89" s="28" t="s">
        <v>1245</v>
      </c>
      <c r="F89" s="28" t="s">
        <v>4935</v>
      </c>
      <c r="G89" s="28" t="s">
        <v>3072</v>
      </c>
      <c r="H89" s="28" t="s">
        <v>4936</v>
      </c>
      <c r="I89" s="28" t="s">
        <v>127</v>
      </c>
      <c r="J89" s="28" t="s">
        <v>4937</v>
      </c>
      <c r="K89" s="28" t="s">
        <v>4938</v>
      </c>
      <c r="L89" s="28" t="s">
        <v>4939</v>
      </c>
      <c r="M89" s="28" t="s">
        <v>617</v>
      </c>
      <c r="N89" s="28" t="s">
        <v>4940</v>
      </c>
      <c r="O89" s="28" t="s">
        <v>4941</v>
      </c>
      <c r="P89" s="28" t="s">
        <v>3309</v>
      </c>
      <c r="Q89" s="28" t="s">
        <v>84</v>
      </c>
    </row>
    <row r="90" spans="1:17" ht="100.8" x14ac:dyDescent="0.3">
      <c r="A90" s="31" t="s">
        <v>4783</v>
      </c>
      <c r="B90" s="28" t="s">
        <v>4942</v>
      </c>
      <c r="C90" s="28" t="s">
        <v>4943</v>
      </c>
      <c r="D90" s="28" t="s">
        <v>814</v>
      </c>
      <c r="E90" s="28" t="s">
        <v>158</v>
      </c>
      <c r="F90" s="28" t="s">
        <v>4944</v>
      </c>
      <c r="G90" s="28" t="s">
        <v>4945</v>
      </c>
      <c r="H90" s="28" t="s">
        <v>363</v>
      </c>
      <c r="I90" s="28" t="s">
        <v>77</v>
      </c>
      <c r="J90" s="28" t="s">
        <v>4946</v>
      </c>
      <c r="K90" s="28" t="s">
        <v>4947</v>
      </c>
      <c r="L90" s="28" t="s">
        <v>814</v>
      </c>
      <c r="M90" s="28" t="s">
        <v>109</v>
      </c>
      <c r="N90" s="28" t="s">
        <v>4948</v>
      </c>
      <c r="O90" s="28" t="s">
        <v>4949</v>
      </c>
      <c r="P90" s="28" t="s">
        <v>811</v>
      </c>
      <c r="Q90" s="28" t="s">
        <v>103</v>
      </c>
    </row>
    <row r="91" spans="1:17" x14ac:dyDescent="0.3">
      <c r="A91" s="31" t="s">
        <v>4796</v>
      </c>
      <c r="B91" s="28" t="s">
        <v>4950</v>
      </c>
      <c r="C91" s="28" t="s">
        <v>4951</v>
      </c>
      <c r="D91" s="28" t="s">
        <v>1620</v>
      </c>
      <c r="E91" s="28" t="s">
        <v>158</v>
      </c>
      <c r="F91" s="28" t="s">
        <v>4952</v>
      </c>
      <c r="G91" s="28" t="s">
        <v>4953</v>
      </c>
      <c r="H91" s="28" t="s">
        <v>180</v>
      </c>
      <c r="I91" s="28" t="s">
        <v>84</v>
      </c>
      <c r="J91" s="28" t="s">
        <v>4954</v>
      </c>
      <c r="K91" s="28" t="s">
        <v>2868</v>
      </c>
      <c r="L91" s="28" t="s">
        <v>743</v>
      </c>
      <c r="M91" s="28" t="s">
        <v>77</v>
      </c>
      <c r="N91" s="28" t="s">
        <v>4955</v>
      </c>
      <c r="O91" s="28" t="s">
        <v>4956</v>
      </c>
      <c r="P91" s="28" t="s">
        <v>191</v>
      </c>
      <c r="Q91" s="28" t="s">
        <v>103</v>
      </c>
    </row>
    <row r="92" spans="1:17" ht="144" x14ac:dyDescent="0.3">
      <c r="A92" s="31" t="s">
        <v>4848</v>
      </c>
      <c r="B92" s="28" t="s">
        <v>4957</v>
      </c>
      <c r="C92" s="28" t="s">
        <v>4958</v>
      </c>
      <c r="D92" s="28" t="s">
        <v>756</v>
      </c>
      <c r="E92" s="28" t="s">
        <v>103</v>
      </c>
      <c r="F92" s="28" t="s">
        <v>4003</v>
      </c>
      <c r="G92" s="28" t="s">
        <v>3798</v>
      </c>
      <c r="H92" s="28" t="s">
        <v>756</v>
      </c>
      <c r="I92" s="28" t="s">
        <v>153</v>
      </c>
      <c r="J92" s="28" t="s">
        <v>4959</v>
      </c>
      <c r="K92" s="28" t="s">
        <v>4960</v>
      </c>
      <c r="L92" s="28" t="s">
        <v>756</v>
      </c>
      <c r="M92" s="28" t="s">
        <v>153</v>
      </c>
      <c r="N92" s="28" t="s">
        <v>2186</v>
      </c>
      <c r="O92" s="28" t="s">
        <v>4961</v>
      </c>
      <c r="P92" s="28" t="s">
        <v>797</v>
      </c>
      <c r="Q92" s="28" t="s">
        <v>153</v>
      </c>
    </row>
    <row r="93" spans="1:17" ht="43.2" x14ac:dyDescent="0.3">
      <c r="A93" s="31" t="s">
        <v>4858</v>
      </c>
      <c r="B93" s="28" t="s">
        <v>4962</v>
      </c>
      <c r="C93" s="28" t="s">
        <v>4963</v>
      </c>
      <c r="D93" s="28" t="s">
        <v>331</v>
      </c>
      <c r="E93" s="28" t="s">
        <v>1074</v>
      </c>
      <c r="F93" s="28" t="s">
        <v>4964</v>
      </c>
      <c r="G93" s="28" t="s">
        <v>4965</v>
      </c>
      <c r="H93" s="28" t="s">
        <v>1720</v>
      </c>
      <c r="I93" s="28" t="s">
        <v>158</v>
      </c>
      <c r="J93" s="28" t="s">
        <v>4966</v>
      </c>
      <c r="K93" s="28" t="s">
        <v>4967</v>
      </c>
      <c r="L93" s="28" t="s">
        <v>990</v>
      </c>
      <c r="M93" s="28" t="s">
        <v>117</v>
      </c>
      <c r="N93" s="28" t="s">
        <v>4968</v>
      </c>
      <c r="O93" s="28" t="s">
        <v>4969</v>
      </c>
      <c r="P93" s="28" t="s">
        <v>659</v>
      </c>
      <c r="Q93" s="28" t="s">
        <v>84</v>
      </c>
    </row>
    <row r="94" spans="1:17" ht="72" x14ac:dyDescent="0.3">
      <c r="A94" s="28" t="s">
        <v>4970</v>
      </c>
      <c r="B94" s="27"/>
      <c r="C94" s="27"/>
      <c r="D94" s="27"/>
      <c r="E94" s="27"/>
      <c r="F94" s="27"/>
      <c r="G94" s="27"/>
      <c r="H94" s="27"/>
      <c r="I94" s="27"/>
      <c r="J94" s="27"/>
      <c r="K94" s="27"/>
      <c r="L94" s="27"/>
      <c r="M94" s="27"/>
      <c r="N94" s="27"/>
      <c r="O94" s="27"/>
      <c r="P94" s="27"/>
      <c r="Q94" s="27"/>
    </row>
    <row r="95" spans="1:17" ht="43.2" x14ac:dyDescent="0.3">
      <c r="A95" s="30" t="s">
        <v>4417</v>
      </c>
      <c r="B95" s="28" t="s">
        <v>4418</v>
      </c>
      <c r="C95" s="28" t="s">
        <v>4419</v>
      </c>
      <c r="D95" s="28" t="s">
        <v>4418</v>
      </c>
      <c r="E95" s="28" t="s">
        <v>62</v>
      </c>
      <c r="F95" s="28" t="s">
        <v>4420</v>
      </c>
      <c r="G95" s="28" t="s">
        <v>4421</v>
      </c>
      <c r="H95" s="28" t="s">
        <v>4420</v>
      </c>
      <c r="I95" s="28" t="s">
        <v>62</v>
      </c>
      <c r="J95" s="28" t="s">
        <v>4422</v>
      </c>
      <c r="K95" s="28" t="s">
        <v>2138</v>
      </c>
      <c r="L95" s="28" t="s">
        <v>4422</v>
      </c>
      <c r="M95" s="28" t="s">
        <v>62</v>
      </c>
      <c r="N95" s="28" t="s">
        <v>4423</v>
      </c>
      <c r="O95" s="28" t="s">
        <v>4424</v>
      </c>
      <c r="P95" s="28" t="s">
        <v>4423</v>
      </c>
      <c r="Q95" s="28" t="s">
        <v>62</v>
      </c>
    </row>
    <row r="96" spans="1:17" ht="86.4" x14ac:dyDescent="0.3">
      <c r="A96" s="31" t="s">
        <v>4971</v>
      </c>
      <c r="B96" s="28" t="s">
        <v>4972</v>
      </c>
      <c r="C96" s="28" t="s">
        <v>4973</v>
      </c>
      <c r="D96" s="28" t="s">
        <v>1268</v>
      </c>
      <c r="E96" s="28" t="s">
        <v>664</v>
      </c>
      <c r="F96" s="28" t="s">
        <v>4974</v>
      </c>
      <c r="G96" s="28" t="s">
        <v>3661</v>
      </c>
      <c r="H96" s="28" t="s">
        <v>1990</v>
      </c>
      <c r="I96" s="28" t="s">
        <v>153</v>
      </c>
      <c r="J96" s="28" t="s">
        <v>4975</v>
      </c>
      <c r="K96" s="28" t="s">
        <v>4976</v>
      </c>
      <c r="L96" s="28" t="s">
        <v>1017</v>
      </c>
      <c r="M96" s="28" t="s">
        <v>109</v>
      </c>
      <c r="N96" s="28" t="s">
        <v>4977</v>
      </c>
      <c r="O96" s="28" t="s">
        <v>4978</v>
      </c>
      <c r="P96" s="28" t="s">
        <v>184</v>
      </c>
      <c r="Q96" s="28" t="s">
        <v>153</v>
      </c>
    </row>
    <row r="97" spans="1:17" ht="28.8" x14ac:dyDescent="0.3">
      <c r="A97" s="32" t="s">
        <v>4979</v>
      </c>
      <c r="B97" s="28" t="s">
        <v>4980</v>
      </c>
      <c r="C97" s="28" t="s">
        <v>4981</v>
      </c>
      <c r="D97" s="28" t="s">
        <v>265</v>
      </c>
      <c r="E97" s="28" t="s">
        <v>1382</v>
      </c>
      <c r="F97" s="28" t="s">
        <v>4982</v>
      </c>
      <c r="G97" s="28" t="s">
        <v>4983</v>
      </c>
      <c r="H97" s="28" t="s">
        <v>250</v>
      </c>
      <c r="I97" s="28" t="s">
        <v>109</v>
      </c>
      <c r="J97" s="28" t="s">
        <v>276</v>
      </c>
      <c r="K97" s="28" t="s">
        <v>4984</v>
      </c>
      <c r="L97" s="28" t="s">
        <v>167</v>
      </c>
      <c r="M97" s="28" t="s">
        <v>158</v>
      </c>
      <c r="N97" s="28" t="s">
        <v>4985</v>
      </c>
      <c r="O97" s="28" t="s">
        <v>4986</v>
      </c>
      <c r="P97" s="28" t="s">
        <v>219</v>
      </c>
      <c r="Q97" s="28" t="s">
        <v>84</v>
      </c>
    </row>
    <row r="98" spans="1:17" ht="57.6" x14ac:dyDescent="0.3">
      <c r="A98" s="32" t="s">
        <v>4987</v>
      </c>
      <c r="B98" s="28" t="s">
        <v>4988</v>
      </c>
      <c r="C98" s="28" t="s">
        <v>889</v>
      </c>
      <c r="D98" s="28" t="s">
        <v>763</v>
      </c>
      <c r="E98" s="28" t="s">
        <v>77</v>
      </c>
      <c r="F98" s="28" t="s">
        <v>4989</v>
      </c>
      <c r="G98" s="28" t="s">
        <v>4990</v>
      </c>
      <c r="H98" s="28" t="s">
        <v>920</v>
      </c>
      <c r="I98" s="28" t="s">
        <v>100</v>
      </c>
      <c r="J98" s="28" t="s">
        <v>4991</v>
      </c>
      <c r="K98" s="28" t="s">
        <v>2497</v>
      </c>
      <c r="L98" s="28" t="s">
        <v>797</v>
      </c>
      <c r="M98" s="28" t="s">
        <v>103</v>
      </c>
      <c r="N98" s="28" t="s">
        <v>4992</v>
      </c>
      <c r="O98" s="28" t="s">
        <v>4993</v>
      </c>
      <c r="P98" s="28" t="s">
        <v>474</v>
      </c>
      <c r="Q98" s="28" t="s">
        <v>84</v>
      </c>
    </row>
    <row r="99" spans="1:17" ht="28.8" x14ac:dyDescent="0.3">
      <c r="A99" s="32" t="s">
        <v>4994</v>
      </c>
      <c r="B99" s="28" t="s">
        <v>754</v>
      </c>
      <c r="C99" s="28" t="s">
        <v>4995</v>
      </c>
      <c r="D99" s="28" t="s">
        <v>223</v>
      </c>
      <c r="E99" s="28" t="s">
        <v>153</v>
      </c>
      <c r="F99" s="28" t="s">
        <v>4996</v>
      </c>
      <c r="G99" s="28" t="s">
        <v>4997</v>
      </c>
      <c r="H99" s="28" t="s">
        <v>152</v>
      </c>
      <c r="I99" s="28" t="s">
        <v>77</v>
      </c>
      <c r="J99" s="28" t="s">
        <v>4998</v>
      </c>
      <c r="K99" s="28" t="s">
        <v>4999</v>
      </c>
      <c r="L99" s="28" t="s">
        <v>223</v>
      </c>
      <c r="M99" s="28" t="s">
        <v>153</v>
      </c>
      <c r="N99" s="28" t="s">
        <v>5000</v>
      </c>
      <c r="O99" s="28" t="s">
        <v>5001</v>
      </c>
      <c r="P99" s="28" t="s">
        <v>797</v>
      </c>
      <c r="Q99" s="28" t="s">
        <v>153</v>
      </c>
    </row>
    <row r="100" spans="1:17" ht="100.8" x14ac:dyDescent="0.3">
      <c r="A100" s="32" t="s">
        <v>5002</v>
      </c>
      <c r="B100" s="28" t="s">
        <v>5003</v>
      </c>
      <c r="C100" s="28" t="s">
        <v>5004</v>
      </c>
      <c r="D100" s="28" t="s">
        <v>2042</v>
      </c>
      <c r="E100" s="28" t="s">
        <v>107</v>
      </c>
      <c r="F100" s="28" t="s">
        <v>5005</v>
      </c>
      <c r="G100" s="28" t="s">
        <v>5006</v>
      </c>
      <c r="H100" s="28" t="s">
        <v>137</v>
      </c>
      <c r="I100" s="28" t="s">
        <v>109</v>
      </c>
      <c r="J100" s="28" t="s">
        <v>5007</v>
      </c>
      <c r="K100" s="28" t="s">
        <v>5008</v>
      </c>
      <c r="L100" s="28" t="s">
        <v>134</v>
      </c>
      <c r="M100" s="28" t="s">
        <v>73</v>
      </c>
      <c r="N100" s="28" t="s">
        <v>5009</v>
      </c>
      <c r="O100" s="28" t="s">
        <v>5010</v>
      </c>
      <c r="P100" s="28" t="s">
        <v>247</v>
      </c>
      <c r="Q100" s="28" t="s">
        <v>84</v>
      </c>
    </row>
    <row r="101" spans="1:17" ht="57.6" x14ac:dyDescent="0.3">
      <c r="A101" s="31" t="s">
        <v>5011</v>
      </c>
      <c r="B101" s="28" t="s">
        <v>5012</v>
      </c>
      <c r="C101" s="28" t="s">
        <v>5013</v>
      </c>
      <c r="D101" s="28" t="s">
        <v>5014</v>
      </c>
      <c r="E101" s="28" t="s">
        <v>664</v>
      </c>
      <c r="F101" s="28" t="s">
        <v>5015</v>
      </c>
      <c r="G101" s="28" t="s">
        <v>3661</v>
      </c>
      <c r="H101" s="28" t="s">
        <v>5016</v>
      </c>
      <c r="I101" s="28" t="s">
        <v>153</v>
      </c>
      <c r="J101" s="28" t="s">
        <v>5017</v>
      </c>
      <c r="K101" s="28" t="s">
        <v>5018</v>
      </c>
      <c r="L101" s="28" t="s">
        <v>5019</v>
      </c>
      <c r="M101" s="28" t="s">
        <v>109</v>
      </c>
      <c r="N101" s="28" t="s">
        <v>5020</v>
      </c>
      <c r="O101" s="28" t="s">
        <v>5021</v>
      </c>
      <c r="P101" s="28" t="s">
        <v>5022</v>
      </c>
      <c r="Q101" s="28" t="s">
        <v>153</v>
      </c>
    </row>
    <row r="102" spans="1:17" ht="57.6" x14ac:dyDescent="0.3">
      <c r="A102" s="32" t="s">
        <v>4193</v>
      </c>
      <c r="B102" s="28" t="s">
        <v>5023</v>
      </c>
      <c r="C102" s="28" t="s">
        <v>5024</v>
      </c>
      <c r="D102" s="28" t="s">
        <v>670</v>
      </c>
      <c r="E102" s="28" t="s">
        <v>1418</v>
      </c>
      <c r="F102" s="28" t="s">
        <v>5025</v>
      </c>
      <c r="G102" s="28" t="s">
        <v>5026</v>
      </c>
      <c r="H102" s="28" t="s">
        <v>4615</v>
      </c>
      <c r="I102" s="28" t="s">
        <v>77</v>
      </c>
      <c r="J102" s="28" t="s">
        <v>5027</v>
      </c>
      <c r="K102" s="28" t="s">
        <v>5028</v>
      </c>
      <c r="L102" s="28" t="s">
        <v>1728</v>
      </c>
      <c r="M102" s="28" t="s">
        <v>117</v>
      </c>
      <c r="N102" s="28" t="s">
        <v>5029</v>
      </c>
      <c r="O102" s="28" t="s">
        <v>5030</v>
      </c>
      <c r="P102" s="28" t="s">
        <v>5031</v>
      </c>
      <c r="Q102" s="28" t="s">
        <v>103</v>
      </c>
    </row>
    <row r="103" spans="1:17" ht="129.6" x14ac:dyDescent="0.3">
      <c r="A103" s="32" t="s">
        <v>4198</v>
      </c>
      <c r="B103" s="28" t="s">
        <v>5032</v>
      </c>
      <c r="C103" s="28" t="s">
        <v>5033</v>
      </c>
      <c r="D103" s="28" t="s">
        <v>5034</v>
      </c>
      <c r="E103" s="28" t="s">
        <v>1245</v>
      </c>
      <c r="F103" s="28" t="s">
        <v>5035</v>
      </c>
      <c r="G103" s="28" t="s">
        <v>5036</v>
      </c>
      <c r="H103" s="28" t="s">
        <v>3717</v>
      </c>
      <c r="I103" s="28" t="s">
        <v>100</v>
      </c>
      <c r="J103" s="28" t="s">
        <v>5037</v>
      </c>
      <c r="K103" s="28" t="s">
        <v>5038</v>
      </c>
      <c r="L103" s="28" t="s">
        <v>5039</v>
      </c>
      <c r="M103" s="28" t="s">
        <v>617</v>
      </c>
      <c r="N103" s="28" t="s">
        <v>5040</v>
      </c>
      <c r="O103" s="28" t="s">
        <v>5041</v>
      </c>
      <c r="P103" s="28" t="s">
        <v>2247</v>
      </c>
      <c r="Q103" s="28" t="s">
        <v>127</v>
      </c>
    </row>
    <row r="104" spans="1:17" ht="172.8" x14ac:dyDescent="0.3">
      <c r="A104" s="32" t="s">
        <v>4203</v>
      </c>
      <c r="B104" s="28" t="s">
        <v>1257</v>
      </c>
      <c r="C104" s="28" t="s">
        <v>776</v>
      </c>
      <c r="D104" s="28" t="s">
        <v>223</v>
      </c>
      <c r="E104" s="28" t="s">
        <v>153</v>
      </c>
      <c r="F104" s="28" t="s">
        <v>5042</v>
      </c>
      <c r="G104" s="28" t="s">
        <v>5043</v>
      </c>
      <c r="H104" s="28" t="s">
        <v>223</v>
      </c>
      <c r="I104" s="28" t="s">
        <v>153</v>
      </c>
      <c r="J104" s="28" t="s">
        <v>5044</v>
      </c>
      <c r="K104" s="28" t="s">
        <v>4851</v>
      </c>
      <c r="L104" s="28" t="s">
        <v>223</v>
      </c>
      <c r="M104" s="28" t="s">
        <v>153</v>
      </c>
      <c r="N104" s="28" t="s">
        <v>5045</v>
      </c>
      <c r="O104" s="28" t="s">
        <v>958</v>
      </c>
      <c r="P104" s="28" t="s">
        <v>756</v>
      </c>
      <c r="Q104" s="28" t="s">
        <v>153</v>
      </c>
    </row>
    <row r="105" spans="1:17" ht="57.6" x14ac:dyDescent="0.3">
      <c r="A105" s="32" t="s">
        <v>4207</v>
      </c>
      <c r="B105" s="28" t="s">
        <v>3877</v>
      </c>
      <c r="C105" s="28" t="s">
        <v>2037</v>
      </c>
      <c r="D105" s="28" t="s">
        <v>1330</v>
      </c>
      <c r="E105" s="28" t="s">
        <v>109</v>
      </c>
      <c r="F105" s="28" t="s">
        <v>5046</v>
      </c>
      <c r="G105" s="28" t="s">
        <v>5047</v>
      </c>
      <c r="H105" s="28" t="s">
        <v>335</v>
      </c>
      <c r="I105" s="28" t="s">
        <v>127</v>
      </c>
      <c r="J105" s="28" t="s">
        <v>4801</v>
      </c>
      <c r="K105" s="28" t="s">
        <v>4802</v>
      </c>
      <c r="L105" s="28" t="s">
        <v>131</v>
      </c>
      <c r="M105" s="28" t="s">
        <v>84</v>
      </c>
      <c r="N105" s="28" t="s">
        <v>5048</v>
      </c>
      <c r="O105" s="28" t="s">
        <v>1833</v>
      </c>
      <c r="P105" s="28" t="s">
        <v>235</v>
      </c>
      <c r="Q105" s="28" t="s">
        <v>103</v>
      </c>
    </row>
    <row r="106" spans="1:17" ht="187.2" x14ac:dyDescent="0.3">
      <c r="A106" s="32" t="s">
        <v>4212</v>
      </c>
      <c r="B106" s="28" t="s">
        <v>4849</v>
      </c>
      <c r="C106" s="28" t="s">
        <v>762</v>
      </c>
      <c r="D106" s="28" t="s">
        <v>223</v>
      </c>
      <c r="E106" s="28" t="s">
        <v>103</v>
      </c>
      <c r="F106" s="28" t="s">
        <v>4850</v>
      </c>
      <c r="G106" s="28" t="s">
        <v>4851</v>
      </c>
      <c r="H106" s="28" t="s">
        <v>223</v>
      </c>
      <c r="I106" s="28" t="s">
        <v>153</v>
      </c>
      <c r="J106" s="28" t="s">
        <v>5049</v>
      </c>
      <c r="K106" s="28" t="s">
        <v>849</v>
      </c>
      <c r="L106" s="28" t="s">
        <v>223</v>
      </c>
      <c r="M106" s="28" t="s">
        <v>153</v>
      </c>
      <c r="N106" s="28" t="s">
        <v>5050</v>
      </c>
      <c r="O106" s="28" t="s">
        <v>5051</v>
      </c>
      <c r="P106" s="28" t="s">
        <v>223</v>
      </c>
      <c r="Q106" s="28" t="s">
        <v>153</v>
      </c>
    </row>
    <row r="107" spans="1:17" ht="115.2" x14ac:dyDescent="0.3">
      <c r="A107" s="32" t="s">
        <v>4217</v>
      </c>
      <c r="B107" s="28" t="s">
        <v>5052</v>
      </c>
      <c r="C107" s="28" t="s">
        <v>5053</v>
      </c>
      <c r="D107" s="28" t="s">
        <v>756</v>
      </c>
      <c r="E107" s="28" t="s">
        <v>103</v>
      </c>
      <c r="F107" s="28" t="s">
        <v>5054</v>
      </c>
      <c r="G107" s="28" t="s">
        <v>599</v>
      </c>
      <c r="H107" s="28" t="s">
        <v>763</v>
      </c>
      <c r="I107" s="28" t="s">
        <v>84</v>
      </c>
      <c r="J107" s="28" t="s">
        <v>5055</v>
      </c>
      <c r="K107" s="28" t="s">
        <v>5056</v>
      </c>
      <c r="L107" s="28" t="s">
        <v>763</v>
      </c>
      <c r="M107" s="28" t="s">
        <v>84</v>
      </c>
      <c r="N107" s="28" t="s">
        <v>5057</v>
      </c>
      <c r="O107" s="28" t="s">
        <v>5058</v>
      </c>
      <c r="P107" s="28" t="s">
        <v>763</v>
      </c>
      <c r="Q107" s="28" t="s">
        <v>153</v>
      </c>
    </row>
    <row r="108" spans="1:17" ht="86.4" x14ac:dyDescent="0.3">
      <c r="A108" s="32" t="s">
        <v>4669</v>
      </c>
      <c r="B108" s="28" t="s">
        <v>5059</v>
      </c>
      <c r="C108" s="28" t="s">
        <v>3746</v>
      </c>
      <c r="D108" s="28" t="s">
        <v>243</v>
      </c>
      <c r="E108" s="28" t="s">
        <v>117</v>
      </c>
      <c r="F108" s="28" t="s">
        <v>5060</v>
      </c>
      <c r="G108" s="28" t="s">
        <v>5061</v>
      </c>
      <c r="H108" s="28" t="s">
        <v>1108</v>
      </c>
      <c r="I108" s="28" t="s">
        <v>185</v>
      </c>
      <c r="J108" s="28" t="s">
        <v>5062</v>
      </c>
      <c r="K108" s="28" t="s">
        <v>5063</v>
      </c>
      <c r="L108" s="28" t="s">
        <v>250</v>
      </c>
      <c r="M108" s="28" t="s">
        <v>158</v>
      </c>
      <c r="N108" s="28" t="s">
        <v>5064</v>
      </c>
      <c r="O108" s="28" t="s">
        <v>5065</v>
      </c>
      <c r="P108" s="28" t="s">
        <v>1029</v>
      </c>
      <c r="Q108" s="28" t="s">
        <v>127</v>
      </c>
    </row>
    <row r="109" spans="1:17" ht="201.6" x14ac:dyDescent="0.3">
      <c r="A109" s="33" t="s">
        <v>5066</v>
      </c>
      <c r="B109" s="28" t="s">
        <v>1351</v>
      </c>
      <c r="C109" s="28" t="s">
        <v>4117</v>
      </c>
      <c r="D109" s="28" t="s">
        <v>797</v>
      </c>
      <c r="E109" s="28" t="s">
        <v>84</v>
      </c>
      <c r="F109" s="28" t="s">
        <v>5067</v>
      </c>
      <c r="G109" s="28" t="s">
        <v>5068</v>
      </c>
      <c r="H109" s="28" t="s">
        <v>240</v>
      </c>
      <c r="I109" s="28" t="s">
        <v>127</v>
      </c>
      <c r="J109" s="28" t="s">
        <v>5069</v>
      </c>
      <c r="K109" s="28" t="s">
        <v>5070</v>
      </c>
      <c r="L109" s="28" t="s">
        <v>738</v>
      </c>
      <c r="M109" s="28" t="s">
        <v>153</v>
      </c>
      <c r="N109" s="28" t="s">
        <v>3586</v>
      </c>
      <c r="O109" s="28" t="s">
        <v>5071</v>
      </c>
      <c r="P109" s="28" t="s">
        <v>803</v>
      </c>
      <c r="Q109" s="28" t="s">
        <v>153</v>
      </c>
    </row>
    <row r="110" spans="1:17" ht="360" x14ac:dyDescent="0.3">
      <c r="A110" s="33" t="s">
        <v>5072</v>
      </c>
      <c r="B110" s="28" t="s">
        <v>5073</v>
      </c>
      <c r="C110" s="28" t="s">
        <v>5074</v>
      </c>
      <c r="D110" s="28" t="s">
        <v>256</v>
      </c>
      <c r="E110" s="28" t="s">
        <v>73</v>
      </c>
      <c r="F110" s="28" t="s">
        <v>5075</v>
      </c>
      <c r="G110" s="28" t="s">
        <v>5076</v>
      </c>
      <c r="H110" s="28" t="s">
        <v>1510</v>
      </c>
      <c r="I110" s="28" t="s">
        <v>109</v>
      </c>
      <c r="J110" s="28" t="s">
        <v>5077</v>
      </c>
      <c r="K110" s="28" t="s">
        <v>5078</v>
      </c>
      <c r="L110" s="28" t="s">
        <v>1330</v>
      </c>
      <c r="M110" s="28" t="s">
        <v>158</v>
      </c>
      <c r="N110" s="28" t="s">
        <v>5079</v>
      </c>
      <c r="O110" s="28" t="s">
        <v>5080</v>
      </c>
      <c r="P110" s="28" t="s">
        <v>1848</v>
      </c>
      <c r="Q110" s="28" t="s">
        <v>127</v>
      </c>
    </row>
    <row r="111" spans="1:17" ht="43.2" x14ac:dyDescent="0.3">
      <c r="A111" s="28" t="s">
        <v>59</v>
      </c>
      <c r="B111" s="28" t="s">
        <v>1436</v>
      </c>
      <c r="C111" s="28" t="s">
        <v>1437</v>
      </c>
      <c r="D111" s="28" t="s">
        <v>62</v>
      </c>
      <c r="E111" s="28" t="s">
        <v>62</v>
      </c>
      <c r="F111" s="28" t="s">
        <v>1438</v>
      </c>
      <c r="G111" s="28" t="s">
        <v>1439</v>
      </c>
      <c r="H111" s="28" t="s">
        <v>62</v>
      </c>
      <c r="I111" s="28" t="s">
        <v>62</v>
      </c>
      <c r="J111" s="28" t="s">
        <v>1440</v>
      </c>
      <c r="K111" s="28" t="s">
        <v>1441</v>
      </c>
      <c r="L111" s="28" t="s">
        <v>62</v>
      </c>
      <c r="M111" s="28" t="s">
        <v>62</v>
      </c>
      <c r="N111" s="28" t="s">
        <v>1442</v>
      </c>
      <c r="O111" s="28" t="s">
        <v>1443</v>
      </c>
      <c r="P111" s="28" t="s">
        <v>62</v>
      </c>
      <c r="Q111" s="28" t="s">
        <v>62</v>
      </c>
    </row>
    <row r="112" spans="1:17" ht="72" x14ac:dyDescent="0.3">
      <c r="A112" s="28" t="s">
        <v>5081</v>
      </c>
      <c r="B112" s="27"/>
      <c r="C112" s="27"/>
      <c r="D112" s="27"/>
      <c r="E112" s="27"/>
      <c r="F112" s="27"/>
      <c r="G112" s="27"/>
      <c r="H112" s="27"/>
      <c r="I112" s="27"/>
      <c r="J112" s="27"/>
      <c r="K112" s="27"/>
      <c r="L112" s="27"/>
      <c r="M112" s="27"/>
      <c r="N112" s="27"/>
      <c r="O112" s="27"/>
      <c r="P112" s="27"/>
      <c r="Q112" s="27"/>
    </row>
    <row r="113" spans="1:17" ht="72" x14ac:dyDescent="0.3">
      <c r="A113" s="30" t="s">
        <v>5082</v>
      </c>
      <c r="B113" s="28" t="s">
        <v>5083</v>
      </c>
      <c r="C113" s="28" t="s">
        <v>3324</v>
      </c>
      <c r="D113" s="28" t="s">
        <v>5083</v>
      </c>
      <c r="E113" s="28" t="s">
        <v>62</v>
      </c>
      <c r="F113" s="28" t="s">
        <v>5084</v>
      </c>
      <c r="G113" s="28" t="s">
        <v>5085</v>
      </c>
      <c r="H113" s="28" t="s">
        <v>5084</v>
      </c>
      <c r="I113" s="28" t="s">
        <v>62</v>
      </c>
      <c r="J113" s="28" t="s">
        <v>5086</v>
      </c>
      <c r="K113" s="28" t="s">
        <v>5087</v>
      </c>
      <c r="L113" s="28" t="s">
        <v>5086</v>
      </c>
      <c r="M113" s="28" t="s">
        <v>62</v>
      </c>
      <c r="N113" s="28" t="s">
        <v>5088</v>
      </c>
      <c r="O113" s="28" t="s">
        <v>5089</v>
      </c>
      <c r="P113" s="28" t="s">
        <v>5088</v>
      </c>
      <c r="Q113" s="28" t="s">
        <v>62</v>
      </c>
    </row>
    <row r="114" spans="1:17" x14ac:dyDescent="0.3">
      <c r="A114" s="31" t="s">
        <v>4425</v>
      </c>
      <c r="B114" s="28" t="s">
        <v>5090</v>
      </c>
      <c r="C114" s="28" t="s">
        <v>1484</v>
      </c>
      <c r="D114" s="28" t="s">
        <v>5091</v>
      </c>
      <c r="E114" s="28" t="s">
        <v>591</v>
      </c>
      <c r="F114" s="28" t="s">
        <v>5092</v>
      </c>
      <c r="G114" s="28" t="s">
        <v>5093</v>
      </c>
      <c r="H114" s="28" t="s">
        <v>5094</v>
      </c>
      <c r="I114" s="28" t="s">
        <v>127</v>
      </c>
      <c r="J114" s="28" t="s">
        <v>5095</v>
      </c>
      <c r="K114" s="28" t="s">
        <v>5096</v>
      </c>
      <c r="L114" s="28" t="s">
        <v>4680</v>
      </c>
      <c r="M114" s="28" t="s">
        <v>109</v>
      </c>
      <c r="N114" s="28" t="s">
        <v>5097</v>
      </c>
      <c r="O114" s="28" t="s">
        <v>5098</v>
      </c>
      <c r="P114" s="28" t="s">
        <v>4618</v>
      </c>
      <c r="Q114" s="28" t="s">
        <v>103</v>
      </c>
    </row>
    <row r="115" spans="1:17" ht="28.8" x14ac:dyDescent="0.3">
      <c r="A115" s="31" t="s">
        <v>4436</v>
      </c>
      <c r="B115" s="28" t="s">
        <v>5099</v>
      </c>
      <c r="C115" s="28" t="s">
        <v>5100</v>
      </c>
      <c r="D115" s="28" t="s">
        <v>5101</v>
      </c>
      <c r="E115" s="28" t="s">
        <v>591</v>
      </c>
      <c r="F115" s="28" t="s">
        <v>5102</v>
      </c>
      <c r="G115" s="28" t="s">
        <v>4901</v>
      </c>
      <c r="H115" s="28" t="s">
        <v>5103</v>
      </c>
      <c r="I115" s="28" t="s">
        <v>127</v>
      </c>
      <c r="J115" s="28" t="s">
        <v>5104</v>
      </c>
      <c r="K115" s="28" t="s">
        <v>5105</v>
      </c>
      <c r="L115" s="28" t="s">
        <v>5106</v>
      </c>
      <c r="M115" s="28" t="s">
        <v>109</v>
      </c>
      <c r="N115" s="28" t="s">
        <v>5107</v>
      </c>
      <c r="O115" s="28" t="s">
        <v>5108</v>
      </c>
      <c r="P115" s="28" t="s">
        <v>4629</v>
      </c>
      <c r="Q115" s="28" t="s">
        <v>103</v>
      </c>
    </row>
  </sheetData>
  <mergeCells count="4">
    <mergeCell ref="B1:E1"/>
    <mergeCell ref="F1:I1"/>
    <mergeCell ref="J1:M1"/>
    <mergeCell ref="N1:Q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62"/>
  <sheetViews>
    <sheetView workbookViewId="0">
      <pane xSplit="1" ySplit="2" topLeftCell="E3" activePane="bottomRight" state="frozen"/>
      <selection pane="topRight"/>
      <selection pane="bottomLeft"/>
      <selection pane="bottomRight" activeCell="A8" sqref="A8:XFD8"/>
    </sheetView>
  </sheetViews>
  <sheetFormatPr defaultRowHeight="14.4" x14ac:dyDescent="0.3"/>
  <cols>
    <col min="1" max="1" width="30" style="4" customWidth="1"/>
    <col min="2" max="17" width="20" style="4" customWidth="1"/>
  </cols>
  <sheetData>
    <row r="1" spans="1:17" ht="30" customHeight="1" x14ac:dyDescent="0.3">
      <c r="A1" s="5" t="s">
        <v>3</v>
      </c>
      <c r="B1" s="11" t="s">
        <v>49</v>
      </c>
      <c r="C1" s="11"/>
      <c r="D1" s="11"/>
      <c r="E1" s="11"/>
      <c r="F1" s="11" t="s">
        <v>50</v>
      </c>
      <c r="G1" s="11"/>
      <c r="H1" s="11"/>
      <c r="I1" s="11"/>
      <c r="J1" s="11" t="s">
        <v>51</v>
      </c>
      <c r="K1" s="11"/>
      <c r="L1" s="11"/>
      <c r="M1" s="11"/>
      <c r="N1" s="11" t="s">
        <v>52</v>
      </c>
      <c r="O1" s="11"/>
      <c r="P1" s="11"/>
      <c r="Q1" s="11"/>
    </row>
    <row r="2" spans="1:17" ht="30" customHeight="1" x14ac:dyDescent="0.3">
      <c r="A2" s="5" t="s">
        <v>53</v>
      </c>
      <c r="B2" s="5" t="s">
        <v>54</v>
      </c>
      <c r="C2" s="5" t="s">
        <v>55</v>
      </c>
      <c r="D2" s="5" t="s">
        <v>56</v>
      </c>
      <c r="E2" s="5" t="s">
        <v>57</v>
      </c>
      <c r="F2" s="5" t="s">
        <v>54</v>
      </c>
      <c r="G2" s="5" t="s">
        <v>55</v>
      </c>
      <c r="H2" s="5" t="s">
        <v>56</v>
      </c>
      <c r="I2" s="5" t="s">
        <v>57</v>
      </c>
      <c r="J2" s="5" t="s">
        <v>54</v>
      </c>
      <c r="K2" s="5" t="s">
        <v>55</v>
      </c>
      <c r="L2" s="5" t="s">
        <v>56</v>
      </c>
      <c r="M2" s="5" t="s">
        <v>57</v>
      </c>
      <c r="N2" s="5" t="s">
        <v>54</v>
      </c>
      <c r="O2" s="5" t="s">
        <v>55</v>
      </c>
      <c r="P2" s="5" t="s">
        <v>56</v>
      </c>
      <c r="Q2" s="5" t="s">
        <v>57</v>
      </c>
    </row>
    <row r="3" spans="1:17" x14ac:dyDescent="0.3">
      <c r="A3" s="4" t="s">
        <v>58</v>
      </c>
    </row>
    <row r="4" spans="1:17" x14ac:dyDescent="0.3">
      <c r="A4" s="6" t="s">
        <v>59</v>
      </c>
      <c r="B4" s="4" t="s">
        <v>60</v>
      </c>
      <c r="C4" s="4" t="s">
        <v>61</v>
      </c>
      <c r="D4" s="4" t="s">
        <v>60</v>
      </c>
      <c r="E4" s="4" t="s">
        <v>62</v>
      </c>
      <c r="F4" s="4" t="s">
        <v>63</v>
      </c>
      <c r="G4" s="4" t="s">
        <v>64</v>
      </c>
      <c r="H4" s="4" t="s">
        <v>63</v>
      </c>
      <c r="I4" s="4" t="s">
        <v>62</v>
      </c>
      <c r="J4" s="4" t="s">
        <v>65</v>
      </c>
      <c r="K4" s="4" t="s">
        <v>66</v>
      </c>
      <c r="L4" s="4" t="s">
        <v>65</v>
      </c>
      <c r="M4" s="4" t="s">
        <v>62</v>
      </c>
      <c r="N4" s="4" t="s">
        <v>67</v>
      </c>
      <c r="O4" s="4" t="s">
        <v>68</v>
      </c>
      <c r="P4" s="4" t="s">
        <v>67</v>
      </c>
      <c r="Q4" s="4" t="s">
        <v>62</v>
      </c>
    </row>
    <row r="5" spans="1:17" x14ac:dyDescent="0.3">
      <c r="A5" s="7" t="s">
        <v>69</v>
      </c>
      <c r="B5" s="4" t="s">
        <v>70</v>
      </c>
      <c r="C5" s="4" t="s">
        <v>71</v>
      </c>
      <c r="D5" s="4" t="s">
        <v>72</v>
      </c>
      <c r="E5" s="4" t="s">
        <v>73</v>
      </c>
      <c r="F5" s="4" t="s">
        <v>74</v>
      </c>
      <c r="G5" s="4" t="s">
        <v>75</v>
      </c>
      <c r="H5" s="4" t="s">
        <v>76</v>
      </c>
      <c r="I5" s="4" t="s">
        <v>77</v>
      </c>
      <c r="J5" s="4" t="s">
        <v>78</v>
      </c>
      <c r="K5" s="4" t="s">
        <v>79</v>
      </c>
      <c r="L5" s="4" t="s">
        <v>80</v>
      </c>
      <c r="M5" s="4" t="s">
        <v>77</v>
      </c>
      <c r="N5" s="4" t="s">
        <v>81</v>
      </c>
      <c r="O5" s="4" t="s">
        <v>82</v>
      </c>
      <c r="P5" s="4" t="s">
        <v>83</v>
      </c>
      <c r="Q5" s="4" t="s">
        <v>84</v>
      </c>
    </row>
    <row r="6" spans="1:17" x14ac:dyDescent="0.3">
      <c r="A6" s="7" t="s">
        <v>85</v>
      </c>
      <c r="B6" s="4" t="s">
        <v>86</v>
      </c>
      <c r="C6" s="4" t="s">
        <v>87</v>
      </c>
      <c r="D6" s="4" t="s">
        <v>88</v>
      </c>
      <c r="E6" s="4" t="s">
        <v>73</v>
      </c>
      <c r="F6" s="4" t="s">
        <v>89</v>
      </c>
      <c r="G6" s="4" t="s">
        <v>90</v>
      </c>
      <c r="H6" s="4" t="s">
        <v>91</v>
      </c>
      <c r="I6" s="4" t="s">
        <v>77</v>
      </c>
      <c r="J6" s="4" t="s">
        <v>92</v>
      </c>
      <c r="K6" s="4" t="s">
        <v>93</v>
      </c>
      <c r="L6" s="4" t="s">
        <v>94</v>
      </c>
      <c r="M6" s="4" t="s">
        <v>77</v>
      </c>
      <c r="N6" s="4" t="s">
        <v>95</v>
      </c>
      <c r="O6" s="4" t="s">
        <v>96</v>
      </c>
      <c r="P6" s="4" t="s">
        <v>97</v>
      </c>
      <c r="Q6" s="4" t="s">
        <v>84</v>
      </c>
    </row>
    <row r="7" spans="1:17" x14ac:dyDescent="0.3">
      <c r="A7" s="7" t="s">
        <v>98</v>
      </c>
      <c r="B7" s="4" t="s">
        <v>99</v>
      </c>
      <c r="C7" s="4" t="s">
        <v>100</v>
      </c>
      <c r="D7" s="4" t="s">
        <v>62</v>
      </c>
      <c r="E7" s="4" t="s">
        <v>62</v>
      </c>
      <c r="F7" s="4" t="s">
        <v>101</v>
      </c>
      <c r="G7" s="4" t="s">
        <v>84</v>
      </c>
      <c r="H7" s="4" t="s">
        <v>62</v>
      </c>
      <c r="I7" s="4" t="s">
        <v>62</v>
      </c>
      <c r="J7" s="4" t="s">
        <v>102</v>
      </c>
      <c r="K7" s="4" t="s">
        <v>103</v>
      </c>
      <c r="L7" s="4" t="s">
        <v>62</v>
      </c>
      <c r="M7" s="4" t="s">
        <v>62</v>
      </c>
      <c r="N7" s="4" t="s">
        <v>104</v>
      </c>
      <c r="O7" s="4" t="s">
        <v>103</v>
      </c>
      <c r="P7" s="4" t="s">
        <v>62</v>
      </c>
      <c r="Q7" s="4" t="s">
        <v>62</v>
      </c>
    </row>
    <row r="8" spans="1:17" x14ac:dyDescent="0.3">
      <c r="A8" s="7" t="s">
        <v>105</v>
      </c>
      <c r="B8" s="4" t="s">
        <v>106</v>
      </c>
      <c r="C8" s="4" t="s">
        <v>107</v>
      </c>
      <c r="D8" s="4" t="s">
        <v>62</v>
      </c>
      <c r="E8" s="4" t="s">
        <v>62</v>
      </c>
      <c r="F8" s="4" t="s">
        <v>108</v>
      </c>
      <c r="G8" s="4" t="s">
        <v>109</v>
      </c>
      <c r="H8" s="4" t="s">
        <v>62</v>
      </c>
      <c r="I8" s="4" t="s">
        <v>62</v>
      </c>
      <c r="J8" s="4" t="s">
        <v>110</v>
      </c>
      <c r="K8" s="4" t="s">
        <v>100</v>
      </c>
      <c r="L8" s="4" t="s">
        <v>62</v>
      </c>
      <c r="M8" s="4" t="s">
        <v>62</v>
      </c>
      <c r="N8" s="4" t="s">
        <v>111</v>
      </c>
      <c r="O8" s="4" t="s">
        <v>77</v>
      </c>
      <c r="P8" s="4" t="s">
        <v>62</v>
      </c>
      <c r="Q8" s="4" t="s">
        <v>62</v>
      </c>
    </row>
    <row r="9" spans="1:17" x14ac:dyDescent="0.3">
      <c r="A9" s="4" t="s">
        <v>112</v>
      </c>
    </row>
    <row r="10" spans="1:17" x14ac:dyDescent="0.3">
      <c r="A10" s="6" t="s">
        <v>59</v>
      </c>
      <c r="B10" s="4" t="s">
        <v>60</v>
      </c>
      <c r="C10" s="4" t="s">
        <v>61</v>
      </c>
      <c r="D10" s="4" t="s">
        <v>60</v>
      </c>
      <c r="E10" s="4" t="s">
        <v>62</v>
      </c>
      <c r="F10" s="4" t="s">
        <v>63</v>
      </c>
      <c r="G10" s="4" t="s">
        <v>64</v>
      </c>
      <c r="H10" s="4" t="s">
        <v>63</v>
      </c>
      <c r="I10" s="4" t="s">
        <v>62</v>
      </c>
      <c r="J10" s="4" t="s">
        <v>65</v>
      </c>
      <c r="K10" s="4" t="s">
        <v>66</v>
      </c>
      <c r="L10" s="4" t="s">
        <v>65</v>
      </c>
      <c r="M10" s="4" t="s">
        <v>62</v>
      </c>
      <c r="N10" s="4" t="s">
        <v>67</v>
      </c>
      <c r="O10" s="4" t="s">
        <v>68</v>
      </c>
      <c r="P10" s="4" t="s">
        <v>67</v>
      </c>
      <c r="Q10" s="4" t="s">
        <v>62</v>
      </c>
    </row>
    <row r="11" spans="1:17" x14ac:dyDescent="0.3">
      <c r="A11" s="7" t="s">
        <v>113</v>
      </c>
      <c r="B11" s="4" t="s">
        <v>114</v>
      </c>
      <c r="C11" s="4" t="s">
        <v>115</v>
      </c>
      <c r="D11" s="4" t="s">
        <v>116</v>
      </c>
      <c r="E11" s="4" t="s">
        <v>117</v>
      </c>
      <c r="F11" s="4" t="s">
        <v>118</v>
      </c>
      <c r="G11" s="4" t="s">
        <v>119</v>
      </c>
      <c r="H11" s="4" t="s">
        <v>120</v>
      </c>
      <c r="I11" s="4" t="s">
        <v>109</v>
      </c>
      <c r="J11" s="4" t="s">
        <v>121</v>
      </c>
      <c r="K11" s="4" t="s">
        <v>122</v>
      </c>
      <c r="L11" s="4" t="s">
        <v>123</v>
      </c>
      <c r="M11" s="4" t="s">
        <v>109</v>
      </c>
      <c r="N11" s="4" t="s">
        <v>124</v>
      </c>
      <c r="O11" s="4" t="s">
        <v>125</v>
      </c>
      <c r="P11" s="4" t="s">
        <v>126</v>
      </c>
      <c r="Q11" s="4" t="s">
        <v>127</v>
      </c>
    </row>
    <row r="12" spans="1:17" x14ac:dyDescent="0.3">
      <c r="A12" s="7" t="s">
        <v>128</v>
      </c>
      <c r="B12" s="4" t="s">
        <v>129</v>
      </c>
      <c r="C12" s="4" t="s">
        <v>130</v>
      </c>
      <c r="D12" s="4" t="s">
        <v>131</v>
      </c>
      <c r="E12" s="4" t="s">
        <v>84</v>
      </c>
      <c r="F12" s="4" t="s">
        <v>132</v>
      </c>
      <c r="G12" s="4" t="s">
        <v>133</v>
      </c>
      <c r="H12" s="4" t="s">
        <v>134</v>
      </c>
      <c r="I12" s="4" t="s">
        <v>84</v>
      </c>
      <c r="J12" s="4" t="s">
        <v>135</v>
      </c>
      <c r="K12" s="4" t="s">
        <v>136</v>
      </c>
      <c r="L12" s="4" t="s">
        <v>137</v>
      </c>
      <c r="M12" s="4" t="s">
        <v>127</v>
      </c>
      <c r="N12" s="4" t="s">
        <v>138</v>
      </c>
      <c r="O12" s="4" t="s">
        <v>139</v>
      </c>
      <c r="P12" s="4" t="s">
        <v>140</v>
      </c>
      <c r="Q12" s="4" t="s">
        <v>84</v>
      </c>
    </row>
    <row r="13" spans="1:17" x14ac:dyDescent="0.3">
      <c r="A13" s="7" t="s">
        <v>141</v>
      </c>
      <c r="B13" s="4" t="s">
        <v>142</v>
      </c>
      <c r="C13" s="4" t="s">
        <v>143</v>
      </c>
      <c r="D13" s="4" t="s">
        <v>144</v>
      </c>
      <c r="E13" s="4" t="s">
        <v>100</v>
      </c>
      <c r="F13" s="4" t="s">
        <v>145</v>
      </c>
      <c r="G13" s="4" t="s">
        <v>146</v>
      </c>
      <c r="H13" s="4" t="s">
        <v>131</v>
      </c>
      <c r="I13" s="4" t="s">
        <v>103</v>
      </c>
      <c r="J13" s="4" t="s">
        <v>147</v>
      </c>
      <c r="K13" s="4" t="s">
        <v>148</v>
      </c>
      <c r="L13" s="4" t="s">
        <v>149</v>
      </c>
      <c r="M13" s="4" t="s">
        <v>103</v>
      </c>
      <c r="N13" s="4" t="s">
        <v>150</v>
      </c>
      <c r="O13" s="4" t="s">
        <v>151</v>
      </c>
      <c r="P13" s="4" t="s">
        <v>152</v>
      </c>
      <c r="Q13" s="4" t="s">
        <v>153</v>
      </c>
    </row>
    <row r="14" spans="1:17" x14ac:dyDescent="0.3">
      <c r="A14" s="7" t="s">
        <v>154</v>
      </c>
      <c r="B14" s="4" t="s">
        <v>155</v>
      </c>
      <c r="C14" s="4" t="s">
        <v>156</v>
      </c>
      <c r="D14" s="4" t="s">
        <v>157</v>
      </c>
      <c r="E14" s="4" t="s">
        <v>158</v>
      </c>
      <c r="F14" s="4" t="s">
        <v>159</v>
      </c>
      <c r="G14" s="4" t="s">
        <v>160</v>
      </c>
      <c r="H14" s="4" t="s">
        <v>161</v>
      </c>
      <c r="I14" s="4" t="s">
        <v>127</v>
      </c>
      <c r="J14" s="4" t="s">
        <v>162</v>
      </c>
      <c r="K14" s="4" t="s">
        <v>163</v>
      </c>
      <c r="L14" s="4" t="s">
        <v>164</v>
      </c>
      <c r="M14" s="4" t="s">
        <v>127</v>
      </c>
      <c r="N14" s="4" t="s">
        <v>165</v>
      </c>
      <c r="O14" s="4" t="s">
        <v>166</v>
      </c>
      <c r="P14" s="4" t="s">
        <v>167</v>
      </c>
      <c r="Q14" s="4" t="s">
        <v>103</v>
      </c>
    </row>
    <row r="15" spans="1:17" x14ac:dyDescent="0.3">
      <c r="A15" s="7" t="s">
        <v>168</v>
      </c>
      <c r="B15" s="4" t="s">
        <v>169</v>
      </c>
      <c r="C15" s="4" t="s">
        <v>170</v>
      </c>
      <c r="D15" s="4" t="s">
        <v>171</v>
      </c>
      <c r="E15" s="4" t="s">
        <v>73</v>
      </c>
      <c r="F15" s="4" t="s">
        <v>172</v>
      </c>
      <c r="G15" s="4" t="s">
        <v>173</v>
      </c>
      <c r="H15" s="4" t="s">
        <v>174</v>
      </c>
      <c r="I15" s="4" t="s">
        <v>84</v>
      </c>
      <c r="J15" s="4" t="s">
        <v>175</v>
      </c>
      <c r="K15" s="4" t="s">
        <v>176</v>
      </c>
      <c r="L15" s="4" t="s">
        <v>177</v>
      </c>
      <c r="M15" s="4" t="s">
        <v>100</v>
      </c>
      <c r="N15" s="4" t="s">
        <v>178</v>
      </c>
      <c r="O15" s="4" t="s">
        <v>179</v>
      </c>
      <c r="P15" s="4" t="s">
        <v>180</v>
      </c>
      <c r="Q15" s="4" t="s">
        <v>84</v>
      </c>
    </row>
    <row r="16" spans="1:17" x14ac:dyDescent="0.3">
      <c r="A16" s="7" t="s">
        <v>181</v>
      </c>
      <c r="B16" s="4" t="s">
        <v>182</v>
      </c>
      <c r="C16" s="4" t="s">
        <v>183</v>
      </c>
      <c r="D16" s="4" t="s">
        <v>184</v>
      </c>
      <c r="E16" s="4" t="s">
        <v>185</v>
      </c>
      <c r="F16" s="4" t="s">
        <v>186</v>
      </c>
      <c r="G16" s="4" t="s">
        <v>187</v>
      </c>
      <c r="H16" s="4" t="s">
        <v>188</v>
      </c>
      <c r="I16" s="4" t="s">
        <v>77</v>
      </c>
      <c r="J16" s="4" t="s">
        <v>189</v>
      </c>
      <c r="K16" s="4" t="s">
        <v>190</v>
      </c>
      <c r="L16" s="4" t="s">
        <v>191</v>
      </c>
      <c r="M16" s="4" t="s">
        <v>127</v>
      </c>
      <c r="N16" s="4" t="s">
        <v>192</v>
      </c>
      <c r="O16" s="4" t="s">
        <v>193</v>
      </c>
      <c r="P16" s="4" t="s">
        <v>167</v>
      </c>
      <c r="Q16" s="4" t="s">
        <v>103</v>
      </c>
    </row>
    <row r="17" spans="1:17" x14ac:dyDescent="0.3">
      <c r="A17" s="7" t="s">
        <v>194</v>
      </c>
      <c r="B17" s="4" t="s">
        <v>195</v>
      </c>
      <c r="C17" s="4" t="s">
        <v>196</v>
      </c>
      <c r="D17" s="4" t="s">
        <v>197</v>
      </c>
      <c r="E17" s="4" t="s">
        <v>158</v>
      </c>
      <c r="F17" s="4" t="s">
        <v>198</v>
      </c>
      <c r="G17" s="4" t="s">
        <v>199</v>
      </c>
      <c r="H17" s="4" t="s">
        <v>200</v>
      </c>
      <c r="I17" s="4" t="s">
        <v>127</v>
      </c>
      <c r="J17" s="4" t="s">
        <v>201</v>
      </c>
      <c r="K17" s="4" t="s">
        <v>202</v>
      </c>
      <c r="L17" s="4" t="s">
        <v>203</v>
      </c>
      <c r="M17" s="4" t="s">
        <v>84</v>
      </c>
      <c r="N17" s="4" t="s">
        <v>204</v>
      </c>
      <c r="O17" s="4" t="s">
        <v>205</v>
      </c>
      <c r="P17" s="4" t="s">
        <v>206</v>
      </c>
      <c r="Q17" s="4" t="s">
        <v>103</v>
      </c>
    </row>
    <row r="18" spans="1:17" x14ac:dyDescent="0.3">
      <c r="A18" s="7" t="s">
        <v>207</v>
      </c>
      <c r="B18" s="4" t="s">
        <v>208</v>
      </c>
      <c r="C18" s="4" t="s">
        <v>209</v>
      </c>
      <c r="D18" s="4" t="s">
        <v>210</v>
      </c>
      <c r="E18" s="4" t="s">
        <v>84</v>
      </c>
      <c r="F18" s="4" t="s">
        <v>211</v>
      </c>
      <c r="G18" s="4" t="s">
        <v>212</v>
      </c>
      <c r="H18" s="4" t="s">
        <v>213</v>
      </c>
      <c r="I18" s="4" t="s">
        <v>84</v>
      </c>
      <c r="J18" s="4" t="s">
        <v>214</v>
      </c>
      <c r="K18" s="4" t="s">
        <v>215</v>
      </c>
      <c r="L18" s="4" t="s">
        <v>216</v>
      </c>
      <c r="M18" s="4" t="s">
        <v>153</v>
      </c>
      <c r="N18" s="4" t="s">
        <v>217</v>
      </c>
      <c r="O18" s="4" t="s">
        <v>218</v>
      </c>
      <c r="P18" s="4" t="s">
        <v>219</v>
      </c>
      <c r="Q18" s="4" t="s">
        <v>153</v>
      </c>
    </row>
    <row r="19" spans="1:17" x14ac:dyDescent="0.3">
      <c r="A19" s="7" t="s">
        <v>220</v>
      </c>
      <c r="B19" s="4" t="s">
        <v>221</v>
      </c>
      <c r="C19" s="4" t="s">
        <v>222</v>
      </c>
      <c r="D19" s="4" t="s">
        <v>223</v>
      </c>
      <c r="E19" s="4" t="s">
        <v>153</v>
      </c>
      <c r="F19" s="4" t="s">
        <v>224</v>
      </c>
      <c r="G19" s="4" t="s">
        <v>225</v>
      </c>
      <c r="H19" s="4" t="s">
        <v>226</v>
      </c>
      <c r="I19" s="4" t="s">
        <v>153</v>
      </c>
      <c r="J19" s="4" t="s">
        <v>227</v>
      </c>
      <c r="K19" s="4" t="s">
        <v>228</v>
      </c>
      <c r="L19" s="4" t="s">
        <v>226</v>
      </c>
      <c r="M19" s="4" t="s">
        <v>153</v>
      </c>
      <c r="N19" s="4" t="s">
        <v>229</v>
      </c>
      <c r="O19" s="4" t="s">
        <v>230</v>
      </c>
      <c r="P19" s="4" t="s">
        <v>226</v>
      </c>
      <c r="Q19" s="4" t="s">
        <v>153</v>
      </c>
    </row>
    <row r="20" spans="1:17" x14ac:dyDescent="0.3">
      <c r="A20" s="4" t="s">
        <v>231</v>
      </c>
    </row>
    <row r="21" spans="1:17" x14ac:dyDescent="0.3">
      <c r="A21" s="6" t="s">
        <v>59</v>
      </c>
      <c r="B21" s="4" t="s">
        <v>60</v>
      </c>
      <c r="C21" s="4" t="s">
        <v>61</v>
      </c>
      <c r="D21" s="4" t="s">
        <v>60</v>
      </c>
      <c r="E21" s="4" t="s">
        <v>62</v>
      </c>
      <c r="F21" s="4" t="s">
        <v>63</v>
      </c>
      <c r="G21" s="4" t="s">
        <v>64</v>
      </c>
      <c r="H21" s="4" t="s">
        <v>63</v>
      </c>
      <c r="I21" s="4" t="s">
        <v>62</v>
      </c>
      <c r="J21" s="4" t="s">
        <v>65</v>
      </c>
      <c r="K21" s="4" t="s">
        <v>66</v>
      </c>
      <c r="L21" s="4" t="s">
        <v>65</v>
      </c>
      <c r="M21" s="4" t="s">
        <v>62</v>
      </c>
      <c r="N21" s="4" t="s">
        <v>67</v>
      </c>
      <c r="O21" s="4" t="s">
        <v>68</v>
      </c>
      <c r="P21" s="4" t="s">
        <v>67</v>
      </c>
      <c r="Q21" s="4" t="s">
        <v>62</v>
      </c>
    </row>
    <row r="22" spans="1:17" x14ac:dyDescent="0.3">
      <c r="A22" s="7" t="s">
        <v>232</v>
      </c>
      <c r="B22" s="4" t="s">
        <v>233</v>
      </c>
      <c r="C22" s="4" t="s">
        <v>234</v>
      </c>
      <c r="D22" s="4" t="s">
        <v>235</v>
      </c>
      <c r="E22" s="4" t="s">
        <v>109</v>
      </c>
      <c r="F22" s="4" t="s">
        <v>236</v>
      </c>
      <c r="G22" s="4" t="s">
        <v>237</v>
      </c>
      <c r="H22" s="4" t="s">
        <v>213</v>
      </c>
      <c r="I22" s="4" t="s">
        <v>127</v>
      </c>
      <c r="J22" s="4" t="s">
        <v>238</v>
      </c>
      <c r="K22" s="4" t="s">
        <v>239</v>
      </c>
      <c r="L22" s="4" t="s">
        <v>240</v>
      </c>
      <c r="M22" s="4" t="s">
        <v>103</v>
      </c>
      <c r="N22" s="4" t="s">
        <v>241</v>
      </c>
      <c r="O22" s="4" t="s">
        <v>242</v>
      </c>
      <c r="P22" s="4" t="s">
        <v>243</v>
      </c>
      <c r="Q22" s="4" t="s">
        <v>103</v>
      </c>
    </row>
    <row r="23" spans="1:17" x14ac:dyDescent="0.3">
      <c r="A23" s="7" t="s">
        <v>244</v>
      </c>
      <c r="B23" s="4" t="s">
        <v>245</v>
      </c>
      <c r="C23" s="4" t="s">
        <v>246</v>
      </c>
      <c r="D23" s="4" t="s">
        <v>247</v>
      </c>
      <c r="E23" s="4" t="s">
        <v>77</v>
      </c>
      <c r="F23" s="4" t="s">
        <v>248</v>
      </c>
      <c r="G23" s="4" t="s">
        <v>249</v>
      </c>
      <c r="H23" s="4" t="s">
        <v>250</v>
      </c>
      <c r="I23" s="4" t="s">
        <v>84</v>
      </c>
      <c r="J23" s="4" t="s">
        <v>251</v>
      </c>
      <c r="K23" s="4" t="s">
        <v>252</v>
      </c>
      <c r="L23" s="4" t="s">
        <v>253</v>
      </c>
      <c r="M23" s="4" t="s">
        <v>103</v>
      </c>
      <c r="N23" s="4" t="s">
        <v>254</v>
      </c>
      <c r="O23" s="4" t="s">
        <v>255</v>
      </c>
      <c r="P23" s="4" t="s">
        <v>256</v>
      </c>
      <c r="Q23" s="4" t="s">
        <v>103</v>
      </c>
    </row>
    <row r="24" spans="1:17" x14ac:dyDescent="0.3">
      <c r="A24" s="7" t="s">
        <v>257</v>
      </c>
      <c r="B24" s="4" t="s">
        <v>258</v>
      </c>
      <c r="C24" s="4" t="s">
        <v>259</v>
      </c>
      <c r="D24" s="4" t="s">
        <v>140</v>
      </c>
      <c r="E24" s="4" t="s">
        <v>185</v>
      </c>
      <c r="F24" s="4" t="s">
        <v>260</v>
      </c>
      <c r="G24" s="4" t="s">
        <v>261</v>
      </c>
      <c r="H24" s="4" t="s">
        <v>262</v>
      </c>
      <c r="I24" s="4" t="s">
        <v>100</v>
      </c>
      <c r="J24" s="4" t="s">
        <v>263</v>
      </c>
      <c r="K24" s="4" t="s">
        <v>264</v>
      </c>
      <c r="L24" s="4" t="s">
        <v>265</v>
      </c>
      <c r="M24" s="4" t="s">
        <v>127</v>
      </c>
      <c r="N24" s="4" t="s">
        <v>266</v>
      </c>
      <c r="O24" s="4" t="s">
        <v>267</v>
      </c>
      <c r="P24" s="4" t="s">
        <v>268</v>
      </c>
      <c r="Q24" s="4" t="s">
        <v>84</v>
      </c>
    </row>
    <row r="25" spans="1:17" x14ac:dyDescent="0.3">
      <c r="A25" s="7" t="s">
        <v>269</v>
      </c>
      <c r="B25" s="4" t="s">
        <v>270</v>
      </c>
      <c r="C25" s="4" t="s">
        <v>271</v>
      </c>
      <c r="D25" s="4" t="s">
        <v>272</v>
      </c>
      <c r="E25" s="4" t="s">
        <v>73</v>
      </c>
      <c r="F25" s="4" t="s">
        <v>273</v>
      </c>
      <c r="G25" s="4" t="s">
        <v>274</v>
      </c>
      <c r="H25" s="4" t="s">
        <v>275</v>
      </c>
      <c r="I25" s="4" t="s">
        <v>100</v>
      </c>
      <c r="J25" s="4" t="s">
        <v>276</v>
      </c>
      <c r="K25" s="4" t="s">
        <v>277</v>
      </c>
      <c r="L25" s="4" t="s">
        <v>278</v>
      </c>
      <c r="M25" s="4" t="s">
        <v>77</v>
      </c>
      <c r="N25" s="4" t="s">
        <v>279</v>
      </c>
      <c r="O25" s="4" t="s">
        <v>280</v>
      </c>
      <c r="P25" s="4" t="s">
        <v>281</v>
      </c>
      <c r="Q25" s="4" t="s">
        <v>84</v>
      </c>
    </row>
    <row r="26" spans="1:17" x14ac:dyDescent="0.3">
      <c r="A26" s="7" t="s">
        <v>282</v>
      </c>
      <c r="B26" s="4" t="s">
        <v>283</v>
      </c>
      <c r="C26" s="4" t="s">
        <v>284</v>
      </c>
      <c r="D26" s="4" t="s">
        <v>285</v>
      </c>
      <c r="E26" s="4" t="s">
        <v>73</v>
      </c>
      <c r="F26" s="4" t="s">
        <v>286</v>
      </c>
      <c r="G26" s="4" t="s">
        <v>287</v>
      </c>
      <c r="H26" s="4" t="s">
        <v>288</v>
      </c>
      <c r="I26" s="4" t="s">
        <v>100</v>
      </c>
      <c r="J26" s="4" t="s">
        <v>289</v>
      </c>
      <c r="K26" s="4" t="s">
        <v>290</v>
      </c>
      <c r="L26" s="4" t="s">
        <v>291</v>
      </c>
      <c r="M26" s="4" t="s">
        <v>127</v>
      </c>
      <c r="N26" s="4" t="s">
        <v>292</v>
      </c>
      <c r="O26" s="4" t="s">
        <v>293</v>
      </c>
      <c r="P26" s="4" t="s">
        <v>294</v>
      </c>
      <c r="Q26" s="4" t="s">
        <v>127</v>
      </c>
    </row>
    <row r="27" spans="1:17" x14ac:dyDescent="0.3">
      <c r="A27" s="7" t="s">
        <v>295</v>
      </c>
      <c r="B27" s="4" t="s">
        <v>296</v>
      </c>
      <c r="C27" s="4" t="s">
        <v>297</v>
      </c>
      <c r="D27" s="4" t="s">
        <v>298</v>
      </c>
      <c r="E27" s="4" t="s">
        <v>117</v>
      </c>
      <c r="F27" s="4" t="s">
        <v>299</v>
      </c>
      <c r="G27" s="4" t="s">
        <v>300</v>
      </c>
      <c r="H27" s="4" t="s">
        <v>301</v>
      </c>
      <c r="I27" s="4" t="s">
        <v>77</v>
      </c>
      <c r="J27" s="4" t="s">
        <v>302</v>
      </c>
      <c r="K27" s="4" t="s">
        <v>303</v>
      </c>
      <c r="L27" s="4" t="s">
        <v>304</v>
      </c>
      <c r="M27" s="4" t="s">
        <v>100</v>
      </c>
      <c r="N27" s="4" t="s">
        <v>305</v>
      </c>
      <c r="O27" s="4" t="s">
        <v>306</v>
      </c>
      <c r="P27" s="4" t="s">
        <v>307</v>
      </c>
      <c r="Q27" s="4" t="s">
        <v>127</v>
      </c>
    </row>
    <row r="28" spans="1:17" x14ac:dyDescent="0.3">
      <c r="A28" s="7" t="s">
        <v>308</v>
      </c>
      <c r="B28" s="4" t="s">
        <v>309</v>
      </c>
      <c r="C28" s="4" t="s">
        <v>64</v>
      </c>
      <c r="D28" s="4" t="s">
        <v>310</v>
      </c>
      <c r="E28" s="4" t="s">
        <v>158</v>
      </c>
      <c r="F28" s="4" t="s">
        <v>311</v>
      </c>
      <c r="G28" s="4" t="s">
        <v>312</v>
      </c>
      <c r="H28" s="4" t="s">
        <v>313</v>
      </c>
      <c r="I28" s="4" t="s">
        <v>77</v>
      </c>
      <c r="J28" s="4" t="s">
        <v>314</v>
      </c>
      <c r="K28" s="4" t="s">
        <v>315</v>
      </c>
      <c r="L28" s="4" t="s">
        <v>316</v>
      </c>
      <c r="M28" s="4" t="s">
        <v>77</v>
      </c>
      <c r="N28" s="4" t="s">
        <v>317</v>
      </c>
      <c r="O28" s="4" t="s">
        <v>318</v>
      </c>
      <c r="P28" s="4" t="s">
        <v>319</v>
      </c>
      <c r="Q28" s="4" t="s">
        <v>103</v>
      </c>
    </row>
    <row r="29" spans="1:17" x14ac:dyDescent="0.3">
      <c r="A29" s="7" t="s">
        <v>320</v>
      </c>
      <c r="B29" s="4" t="s">
        <v>321</v>
      </c>
      <c r="C29" s="4" t="s">
        <v>322</v>
      </c>
      <c r="D29" s="4" t="s">
        <v>97</v>
      </c>
      <c r="E29" s="4" t="s">
        <v>109</v>
      </c>
      <c r="F29" s="4" t="s">
        <v>323</v>
      </c>
      <c r="G29" s="4" t="s">
        <v>324</v>
      </c>
      <c r="H29" s="4" t="s">
        <v>325</v>
      </c>
      <c r="I29" s="4" t="s">
        <v>127</v>
      </c>
      <c r="J29" s="4" t="s">
        <v>326</v>
      </c>
      <c r="K29" s="4" t="s">
        <v>327</v>
      </c>
      <c r="L29" s="4" t="s">
        <v>328</v>
      </c>
      <c r="M29" s="4" t="s">
        <v>77</v>
      </c>
      <c r="N29" s="4" t="s">
        <v>329</v>
      </c>
      <c r="O29" s="4" t="s">
        <v>330</v>
      </c>
      <c r="P29" s="4" t="s">
        <v>331</v>
      </c>
      <c r="Q29" s="4" t="s">
        <v>103</v>
      </c>
    </row>
    <row r="30" spans="1:17" x14ac:dyDescent="0.3">
      <c r="A30" s="7" t="s">
        <v>332</v>
      </c>
      <c r="B30" s="4" t="s">
        <v>333</v>
      </c>
      <c r="C30" s="4" t="s">
        <v>334</v>
      </c>
      <c r="D30" s="4" t="s">
        <v>335</v>
      </c>
      <c r="E30" s="4" t="s">
        <v>109</v>
      </c>
      <c r="F30" s="4" t="s">
        <v>336</v>
      </c>
      <c r="G30" s="4" t="s">
        <v>337</v>
      </c>
      <c r="H30" s="4" t="s">
        <v>338</v>
      </c>
      <c r="I30" s="4" t="s">
        <v>84</v>
      </c>
      <c r="J30" s="4" t="s">
        <v>339</v>
      </c>
      <c r="K30" s="4" t="s">
        <v>340</v>
      </c>
      <c r="L30" s="4" t="s">
        <v>341</v>
      </c>
      <c r="M30" s="4" t="s">
        <v>77</v>
      </c>
      <c r="N30" s="4" t="s">
        <v>342</v>
      </c>
      <c r="O30" s="4" t="s">
        <v>343</v>
      </c>
      <c r="P30" s="4" t="s">
        <v>344</v>
      </c>
      <c r="Q30" s="4" t="s">
        <v>103</v>
      </c>
    </row>
    <row r="31" spans="1:17" x14ac:dyDescent="0.3">
      <c r="A31" s="7" t="s">
        <v>345</v>
      </c>
      <c r="B31" s="4" t="s">
        <v>346</v>
      </c>
      <c r="C31" s="4" t="s">
        <v>347</v>
      </c>
      <c r="D31" s="4" t="s">
        <v>348</v>
      </c>
      <c r="E31" s="4" t="s">
        <v>77</v>
      </c>
      <c r="F31" s="4" t="s">
        <v>349</v>
      </c>
      <c r="G31" s="4" t="s">
        <v>350</v>
      </c>
      <c r="H31" s="4" t="s">
        <v>335</v>
      </c>
      <c r="I31" s="4" t="s">
        <v>84</v>
      </c>
      <c r="J31" s="4" t="s">
        <v>351</v>
      </c>
      <c r="K31" s="4" t="s">
        <v>352</v>
      </c>
      <c r="L31" s="4" t="s">
        <v>203</v>
      </c>
      <c r="M31" s="4" t="s">
        <v>84</v>
      </c>
      <c r="N31" s="4" t="s">
        <v>353</v>
      </c>
      <c r="O31" s="4" t="s">
        <v>354</v>
      </c>
      <c r="P31" s="4" t="s">
        <v>355</v>
      </c>
      <c r="Q31" s="4" t="s">
        <v>103</v>
      </c>
    </row>
    <row r="32" spans="1:17" x14ac:dyDescent="0.3">
      <c r="A32" s="4" t="s">
        <v>356</v>
      </c>
    </row>
    <row r="33" spans="1:17" x14ac:dyDescent="0.3">
      <c r="A33" s="6" t="s">
        <v>59</v>
      </c>
      <c r="B33" s="4" t="s">
        <v>60</v>
      </c>
      <c r="C33" s="4" t="s">
        <v>61</v>
      </c>
      <c r="D33" s="4" t="s">
        <v>60</v>
      </c>
      <c r="E33" s="4" t="s">
        <v>62</v>
      </c>
      <c r="F33" s="4" t="s">
        <v>63</v>
      </c>
      <c r="G33" s="4" t="s">
        <v>64</v>
      </c>
      <c r="H33" s="4" t="s">
        <v>63</v>
      </c>
      <c r="I33" s="4" t="s">
        <v>62</v>
      </c>
      <c r="J33" s="4" t="s">
        <v>65</v>
      </c>
      <c r="K33" s="4" t="s">
        <v>66</v>
      </c>
      <c r="L33" s="4" t="s">
        <v>65</v>
      </c>
      <c r="M33" s="4" t="s">
        <v>62</v>
      </c>
      <c r="N33" s="4" t="s">
        <v>67</v>
      </c>
      <c r="O33" s="4" t="s">
        <v>68</v>
      </c>
      <c r="P33" s="4" t="s">
        <v>67</v>
      </c>
      <c r="Q33" s="4" t="s">
        <v>62</v>
      </c>
    </row>
    <row r="34" spans="1:17" x14ac:dyDescent="0.3">
      <c r="A34" s="7" t="s">
        <v>357</v>
      </c>
      <c r="B34" s="4" t="s">
        <v>358</v>
      </c>
      <c r="C34" s="4" t="s">
        <v>359</v>
      </c>
      <c r="D34" s="4" t="s">
        <v>360</v>
      </c>
      <c r="E34" s="4" t="s">
        <v>77</v>
      </c>
      <c r="F34" s="4" t="s">
        <v>361</v>
      </c>
      <c r="G34" s="4" t="s">
        <v>362</v>
      </c>
      <c r="H34" s="4" t="s">
        <v>363</v>
      </c>
      <c r="I34" s="4" t="s">
        <v>103</v>
      </c>
      <c r="J34" s="4" t="s">
        <v>364</v>
      </c>
      <c r="K34" s="4" t="s">
        <v>365</v>
      </c>
      <c r="L34" s="4" t="s">
        <v>366</v>
      </c>
      <c r="M34" s="4" t="s">
        <v>103</v>
      </c>
      <c r="N34" s="4" t="s">
        <v>367</v>
      </c>
      <c r="O34" s="4" t="s">
        <v>368</v>
      </c>
      <c r="P34" s="4" t="s">
        <v>210</v>
      </c>
      <c r="Q34" s="4" t="s">
        <v>153</v>
      </c>
    </row>
    <row r="35" spans="1:17" x14ac:dyDescent="0.3">
      <c r="A35" s="7" t="s">
        <v>369</v>
      </c>
      <c r="B35" s="4" t="s">
        <v>370</v>
      </c>
      <c r="C35" s="4" t="s">
        <v>347</v>
      </c>
      <c r="D35" s="4" t="s">
        <v>256</v>
      </c>
      <c r="E35" s="4" t="s">
        <v>77</v>
      </c>
      <c r="F35" s="4" t="s">
        <v>371</v>
      </c>
      <c r="G35" s="4" t="s">
        <v>372</v>
      </c>
      <c r="H35" s="4" t="s">
        <v>373</v>
      </c>
      <c r="I35" s="4" t="s">
        <v>84</v>
      </c>
      <c r="J35" s="4" t="s">
        <v>374</v>
      </c>
      <c r="K35" s="4" t="s">
        <v>375</v>
      </c>
      <c r="L35" s="4" t="s">
        <v>253</v>
      </c>
      <c r="M35" s="4" t="s">
        <v>153</v>
      </c>
      <c r="N35" s="4" t="s">
        <v>376</v>
      </c>
      <c r="O35" s="4" t="s">
        <v>377</v>
      </c>
      <c r="P35" s="4" t="s">
        <v>131</v>
      </c>
      <c r="Q35" s="4" t="s">
        <v>153</v>
      </c>
    </row>
    <row r="36" spans="1:17" x14ac:dyDescent="0.3">
      <c r="A36" s="7" t="s">
        <v>378</v>
      </c>
      <c r="B36" s="4" t="s">
        <v>379</v>
      </c>
      <c r="C36" s="4" t="s">
        <v>380</v>
      </c>
      <c r="D36" s="4" t="s">
        <v>278</v>
      </c>
      <c r="E36" s="4" t="s">
        <v>73</v>
      </c>
      <c r="F36" s="4" t="s">
        <v>381</v>
      </c>
      <c r="G36" s="4" t="s">
        <v>382</v>
      </c>
      <c r="H36" s="4" t="s">
        <v>383</v>
      </c>
      <c r="I36" s="4" t="s">
        <v>77</v>
      </c>
      <c r="J36" s="4" t="s">
        <v>384</v>
      </c>
      <c r="K36" s="4" t="s">
        <v>385</v>
      </c>
      <c r="L36" s="4" t="s">
        <v>386</v>
      </c>
      <c r="M36" s="4" t="s">
        <v>77</v>
      </c>
      <c r="N36" s="4" t="s">
        <v>387</v>
      </c>
      <c r="O36" s="4" t="s">
        <v>388</v>
      </c>
      <c r="P36" s="4" t="s">
        <v>389</v>
      </c>
      <c r="Q36" s="4" t="s">
        <v>84</v>
      </c>
    </row>
    <row r="37" spans="1:17" x14ac:dyDescent="0.3">
      <c r="A37" s="7" t="s">
        <v>390</v>
      </c>
      <c r="B37" s="4" t="s">
        <v>391</v>
      </c>
      <c r="C37" s="4" t="s">
        <v>392</v>
      </c>
      <c r="D37" s="4" t="s">
        <v>393</v>
      </c>
      <c r="E37" s="4" t="s">
        <v>394</v>
      </c>
      <c r="F37" s="4" t="s">
        <v>395</v>
      </c>
      <c r="G37" s="4" t="s">
        <v>396</v>
      </c>
      <c r="H37" s="4" t="s">
        <v>397</v>
      </c>
      <c r="I37" s="4" t="s">
        <v>77</v>
      </c>
      <c r="J37" s="4" t="s">
        <v>398</v>
      </c>
      <c r="K37" s="4" t="s">
        <v>399</v>
      </c>
      <c r="L37" s="4" t="s">
        <v>328</v>
      </c>
      <c r="M37" s="4" t="s">
        <v>100</v>
      </c>
      <c r="N37" s="4" t="s">
        <v>400</v>
      </c>
      <c r="O37" s="4" t="s">
        <v>401</v>
      </c>
      <c r="P37" s="4" t="s">
        <v>402</v>
      </c>
      <c r="Q37" s="4" t="s">
        <v>84</v>
      </c>
    </row>
    <row r="38" spans="1:17" x14ac:dyDescent="0.3">
      <c r="A38" s="7" t="s">
        <v>403</v>
      </c>
      <c r="B38" s="4" t="s">
        <v>404</v>
      </c>
      <c r="C38" s="4" t="s">
        <v>405</v>
      </c>
      <c r="D38" s="4" t="s">
        <v>406</v>
      </c>
      <c r="E38" s="4" t="s">
        <v>407</v>
      </c>
      <c r="F38" s="4" t="s">
        <v>408</v>
      </c>
      <c r="G38" s="4" t="s">
        <v>409</v>
      </c>
      <c r="H38" s="4" t="s">
        <v>410</v>
      </c>
      <c r="I38" s="4" t="s">
        <v>109</v>
      </c>
      <c r="J38" s="4" t="s">
        <v>411</v>
      </c>
      <c r="K38" s="4" t="s">
        <v>412</v>
      </c>
      <c r="L38" s="4" t="s">
        <v>413</v>
      </c>
      <c r="M38" s="4" t="s">
        <v>109</v>
      </c>
      <c r="N38" s="4" t="s">
        <v>414</v>
      </c>
      <c r="O38" s="4" t="s">
        <v>415</v>
      </c>
      <c r="P38" s="4" t="s">
        <v>416</v>
      </c>
      <c r="Q38" s="4" t="s">
        <v>127</v>
      </c>
    </row>
    <row r="39" spans="1:17" x14ac:dyDescent="0.3">
      <c r="A39" s="7" t="s">
        <v>417</v>
      </c>
      <c r="B39" s="4" t="s">
        <v>418</v>
      </c>
      <c r="C39" s="4" t="s">
        <v>419</v>
      </c>
      <c r="D39" s="4" t="s">
        <v>420</v>
      </c>
      <c r="E39" s="4" t="s">
        <v>117</v>
      </c>
      <c r="F39" s="4" t="s">
        <v>421</v>
      </c>
      <c r="G39" s="4" t="s">
        <v>261</v>
      </c>
      <c r="H39" s="4" t="s">
        <v>422</v>
      </c>
      <c r="I39" s="4" t="s">
        <v>100</v>
      </c>
      <c r="J39" s="4" t="s">
        <v>423</v>
      </c>
      <c r="K39" s="4" t="s">
        <v>424</v>
      </c>
      <c r="L39" s="4" t="s">
        <v>410</v>
      </c>
      <c r="M39" s="4" t="s">
        <v>100</v>
      </c>
      <c r="N39" s="4" t="s">
        <v>425</v>
      </c>
      <c r="O39" s="4" t="s">
        <v>426</v>
      </c>
      <c r="P39" s="4" t="s">
        <v>420</v>
      </c>
      <c r="Q39" s="4" t="s">
        <v>84</v>
      </c>
    </row>
    <row r="40" spans="1:17" x14ac:dyDescent="0.3">
      <c r="A40" s="7" t="s">
        <v>427</v>
      </c>
      <c r="B40" s="4" t="s">
        <v>428</v>
      </c>
      <c r="C40" s="4" t="s">
        <v>429</v>
      </c>
      <c r="D40" s="4" t="s">
        <v>430</v>
      </c>
      <c r="E40" s="4" t="s">
        <v>185</v>
      </c>
      <c r="F40" s="4" t="s">
        <v>431</v>
      </c>
      <c r="G40" s="4" t="s">
        <v>432</v>
      </c>
      <c r="H40" s="4" t="s">
        <v>433</v>
      </c>
      <c r="I40" s="4" t="s">
        <v>77</v>
      </c>
      <c r="J40" s="4" t="s">
        <v>434</v>
      </c>
      <c r="K40" s="4" t="s">
        <v>435</v>
      </c>
      <c r="L40" s="4" t="s">
        <v>436</v>
      </c>
      <c r="M40" s="4" t="s">
        <v>77</v>
      </c>
      <c r="N40" s="4" t="s">
        <v>437</v>
      </c>
      <c r="O40" s="4" t="s">
        <v>438</v>
      </c>
      <c r="P40" s="4" t="s">
        <v>439</v>
      </c>
      <c r="Q40" s="4" t="s">
        <v>84</v>
      </c>
    </row>
    <row r="41" spans="1:17" x14ac:dyDescent="0.3">
      <c r="A41" s="7" t="s">
        <v>440</v>
      </c>
      <c r="B41" s="4" t="s">
        <v>361</v>
      </c>
      <c r="C41" s="4" t="s">
        <v>441</v>
      </c>
      <c r="D41" s="4" t="s">
        <v>442</v>
      </c>
      <c r="E41" s="4" t="s">
        <v>100</v>
      </c>
      <c r="F41" s="4" t="s">
        <v>443</v>
      </c>
      <c r="G41" s="4" t="s">
        <v>444</v>
      </c>
      <c r="H41" s="4" t="s">
        <v>445</v>
      </c>
      <c r="I41" s="4" t="s">
        <v>127</v>
      </c>
      <c r="J41" s="4" t="s">
        <v>446</v>
      </c>
      <c r="K41" s="4" t="s">
        <v>447</v>
      </c>
      <c r="L41" s="4" t="s">
        <v>180</v>
      </c>
      <c r="M41" s="4" t="s">
        <v>127</v>
      </c>
      <c r="N41" s="4" t="s">
        <v>448</v>
      </c>
      <c r="O41" s="4" t="s">
        <v>449</v>
      </c>
      <c r="P41" s="4" t="s">
        <v>450</v>
      </c>
      <c r="Q41" s="4" t="s">
        <v>84</v>
      </c>
    </row>
    <row r="42" spans="1:17" x14ac:dyDescent="0.3">
      <c r="A42" s="7" t="s">
        <v>451</v>
      </c>
      <c r="B42" s="4" t="s">
        <v>452</v>
      </c>
      <c r="C42" s="4" t="s">
        <v>453</v>
      </c>
      <c r="D42" s="4" t="s">
        <v>200</v>
      </c>
      <c r="E42" s="4" t="s">
        <v>109</v>
      </c>
      <c r="F42" s="4" t="s">
        <v>454</v>
      </c>
      <c r="G42" s="4" t="s">
        <v>455</v>
      </c>
      <c r="H42" s="4" t="s">
        <v>188</v>
      </c>
      <c r="I42" s="4" t="s">
        <v>127</v>
      </c>
      <c r="J42" s="4" t="s">
        <v>456</v>
      </c>
      <c r="K42" s="4" t="s">
        <v>352</v>
      </c>
      <c r="L42" s="4" t="s">
        <v>457</v>
      </c>
      <c r="M42" s="4" t="s">
        <v>84</v>
      </c>
      <c r="N42" s="4" t="s">
        <v>458</v>
      </c>
      <c r="O42" s="4" t="s">
        <v>459</v>
      </c>
      <c r="P42" s="4" t="s">
        <v>460</v>
      </c>
      <c r="Q42" s="4" t="s">
        <v>84</v>
      </c>
    </row>
    <row r="43" spans="1:17" x14ac:dyDescent="0.3">
      <c r="A43" s="7" t="s">
        <v>461</v>
      </c>
      <c r="B43" s="4" t="s">
        <v>462</v>
      </c>
      <c r="C43" s="4" t="s">
        <v>153</v>
      </c>
      <c r="D43" s="4" t="s">
        <v>62</v>
      </c>
      <c r="E43" s="4" t="s">
        <v>62</v>
      </c>
      <c r="F43" s="4" t="s">
        <v>463</v>
      </c>
      <c r="G43" s="4" t="s">
        <v>153</v>
      </c>
      <c r="H43" s="4" t="s">
        <v>62</v>
      </c>
      <c r="I43" s="4" t="s">
        <v>62</v>
      </c>
      <c r="J43" s="4" t="s">
        <v>462</v>
      </c>
      <c r="K43" s="4" t="s">
        <v>153</v>
      </c>
      <c r="L43" s="4" t="s">
        <v>62</v>
      </c>
      <c r="M43" s="4" t="s">
        <v>62</v>
      </c>
      <c r="N43" s="4" t="s">
        <v>464</v>
      </c>
      <c r="O43" s="4" t="s">
        <v>153</v>
      </c>
      <c r="P43" s="4" t="s">
        <v>62</v>
      </c>
      <c r="Q43" s="4" t="s">
        <v>62</v>
      </c>
    </row>
    <row r="44" spans="1:17" x14ac:dyDescent="0.3">
      <c r="A44" s="4" t="s">
        <v>465</v>
      </c>
    </row>
    <row r="45" spans="1:17" x14ac:dyDescent="0.3">
      <c r="A45" s="6" t="s">
        <v>59</v>
      </c>
      <c r="B45" s="4" t="s">
        <v>60</v>
      </c>
      <c r="C45" s="4" t="s">
        <v>61</v>
      </c>
      <c r="D45" s="4" t="s">
        <v>60</v>
      </c>
      <c r="E45" s="4" t="s">
        <v>62</v>
      </c>
      <c r="F45" s="4" t="s">
        <v>63</v>
      </c>
      <c r="G45" s="4" t="s">
        <v>64</v>
      </c>
      <c r="H45" s="4" t="s">
        <v>63</v>
      </c>
      <c r="I45" s="4" t="s">
        <v>62</v>
      </c>
      <c r="J45" s="4" t="s">
        <v>65</v>
      </c>
      <c r="K45" s="4" t="s">
        <v>66</v>
      </c>
      <c r="L45" s="4" t="s">
        <v>65</v>
      </c>
      <c r="M45" s="4" t="s">
        <v>62</v>
      </c>
      <c r="N45" s="4" t="s">
        <v>67</v>
      </c>
      <c r="O45" s="4" t="s">
        <v>68</v>
      </c>
      <c r="P45" s="4" t="s">
        <v>67</v>
      </c>
      <c r="Q45" s="4" t="s">
        <v>62</v>
      </c>
    </row>
    <row r="46" spans="1:17" x14ac:dyDescent="0.3">
      <c r="A46" s="7" t="s">
        <v>466</v>
      </c>
      <c r="B46" s="4" t="s">
        <v>467</v>
      </c>
      <c r="C46" s="4" t="s">
        <v>468</v>
      </c>
      <c r="D46" s="4" t="s">
        <v>469</v>
      </c>
      <c r="E46" s="4" t="s">
        <v>77</v>
      </c>
      <c r="F46" s="4" t="s">
        <v>470</v>
      </c>
      <c r="G46" s="4" t="s">
        <v>471</v>
      </c>
      <c r="H46" s="4" t="s">
        <v>366</v>
      </c>
      <c r="I46" s="4" t="s">
        <v>103</v>
      </c>
      <c r="J46" s="4" t="s">
        <v>472</v>
      </c>
      <c r="K46" s="4" t="s">
        <v>473</v>
      </c>
      <c r="L46" s="4" t="s">
        <v>474</v>
      </c>
      <c r="M46" s="4" t="s">
        <v>103</v>
      </c>
      <c r="N46" s="4" t="s">
        <v>475</v>
      </c>
      <c r="O46" s="4" t="s">
        <v>476</v>
      </c>
      <c r="P46" s="4" t="s">
        <v>240</v>
      </c>
      <c r="Q46" s="4" t="s">
        <v>153</v>
      </c>
    </row>
    <row r="47" spans="1:17" x14ac:dyDescent="0.3">
      <c r="A47" s="7" t="s">
        <v>477</v>
      </c>
      <c r="B47" s="4" t="s">
        <v>478</v>
      </c>
      <c r="C47" s="4" t="s">
        <v>479</v>
      </c>
      <c r="D47" s="4" t="s">
        <v>480</v>
      </c>
      <c r="E47" s="4" t="s">
        <v>73</v>
      </c>
      <c r="F47" s="4" t="s">
        <v>481</v>
      </c>
      <c r="G47" s="4" t="s">
        <v>482</v>
      </c>
      <c r="H47" s="4" t="s">
        <v>325</v>
      </c>
      <c r="I47" s="4" t="s">
        <v>100</v>
      </c>
      <c r="J47" s="4" t="s">
        <v>483</v>
      </c>
      <c r="K47" s="4" t="s">
        <v>484</v>
      </c>
      <c r="L47" s="4" t="s">
        <v>291</v>
      </c>
      <c r="M47" s="4" t="s">
        <v>77</v>
      </c>
      <c r="N47" s="4" t="s">
        <v>485</v>
      </c>
      <c r="O47" s="4" t="s">
        <v>486</v>
      </c>
      <c r="P47" s="4" t="s">
        <v>487</v>
      </c>
      <c r="Q47" s="4" t="s">
        <v>103</v>
      </c>
    </row>
    <row r="48" spans="1:17" x14ac:dyDescent="0.3">
      <c r="A48" s="7" t="s">
        <v>488</v>
      </c>
      <c r="B48" s="4" t="s">
        <v>489</v>
      </c>
      <c r="C48" s="4" t="s">
        <v>490</v>
      </c>
      <c r="D48" s="4" t="s">
        <v>491</v>
      </c>
      <c r="E48" s="4" t="s">
        <v>107</v>
      </c>
      <c r="F48" s="4" t="s">
        <v>492</v>
      </c>
      <c r="G48" s="4" t="s">
        <v>493</v>
      </c>
      <c r="H48" s="4" t="s">
        <v>494</v>
      </c>
      <c r="I48" s="4" t="s">
        <v>109</v>
      </c>
      <c r="J48" s="4" t="s">
        <v>495</v>
      </c>
      <c r="K48" s="4" t="s">
        <v>496</v>
      </c>
      <c r="L48" s="4" t="s">
        <v>497</v>
      </c>
      <c r="M48" s="4" t="s">
        <v>109</v>
      </c>
      <c r="N48" s="4" t="s">
        <v>498</v>
      </c>
      <c r="O48" s="4" t="s">
        <v>499</v>
      </c>
      <c r="P48" s="4" t="s">
        <v>500</v>
      </c>
      <c r="Q48" s="4" t="s">
        <v>84</v>
      </c>
    </row>
    <row r="49" spans="1:17" x14ac:dyDescent="0.3">
      <c r="A49" s="7" t="s">
        <v>501</v>
      </c>
      <c r="B49" s="4" t="s">
        <v>502</v>
      </c>
      <c r="C49" s="4" t="s">
        <v>503</v>
      </c>
      <c r="D49" s="4" t="s">
        <v>504</v>
      </c>
      <c r="E49" s="4" t="s">
        <v>394</v>
      </c>
      <c r="F49" s="4" t="s">
        <v>505</v>
      </c>
      <c r="G49" s="4" t="s">
        <v>506</v>
      </c>
      <c r="H49" s="4" t="s">
        <v>507</v>
      </c>
      <c r="I49" s="4" t="s">
        <v>109</v>
      </c>
      <c r="J49" s="4" t="s">
        <v>508</v>
      </c>
      <c r="K49" s="4" t="s">
        <v>509</v>
      </c>
      <c r="L49" s="4" t="s">
        <v>510</v>
      </c>
      <c r="M49" s="4" t="s">
        <v>109</v>
      </c>
      <c r="N49" s="4" t="s">
        <v>511</v>
      </c>
      <c r="O49" s="4" t="s">
        <v>512</v>
      </c>
      <c r="P49" s="4" t="s">
        <v>513</v>
      </c>
      <c r="Q49" s="4" t="s">
        <v>127</v>
      </c>
    </row>
    <row r="50" spans="1:17" x14ac:dyDescent="0.3">
      <c r="A50" s="7" t="s">
        <v>514</v>
      </c>
      <c r="B50" s="4" t="s">
        <v>515</v>
      </c>
      <c r="C50" s="4" t="s">
        <v>516</v>
      </c>
      <c r="D50" s="4" t="s">
        <v>285</v>
      </c>
      <c r="E50" s="4" t="s">
        <v>185</v>
      </c>
      <c r="F50" s="4" t="s">
        <v>517</v>
      </c>
      <c r="G50" s="4" t="s">
        <v>518</v>
      </c>
      <c r="H50" s="4" t="s">
        <v>519</v>
      </c>
      <c r="I50" s="4" t="s">
        <v>77</v>
      </c>
      <c r="J50" s="4" t="s">
        <v>520</v>
      </c>
      <c r="K50" s="4" t="s">
        <v>521</v>
      </c>
      <c r="L50" s="4" t="s">
        <v>522</v>
      </c>
      <c r="M50" s="4" t="s">
        <v>77</v>
      </c>
      <c r="N50" s="4" t="s">
        <v>523</v>
      </c>
      <c r="O50" s="4" t="s">
        <v>524</v>
      </c>
      <c r="P50" s="4" t="s">
        <v>525</v>
      </c>
      <c r="Q50" s="4" t="s">
        <v>127</v>
      </c>
    </row>
    <row r="51" spans="1:17" x14ac:dyDescent="0.3">
      <c r="A51" s="7" t="s">
        <v>526</v>
      </c>
      <c r="B51" s="4" t="s">
        <v>527</v>
      </c>
      <c r="C51" s="4" t="s">
        <v>528</v>
      </c>
      <c r="D51" s="4" t="s">
        <v>247</v>
      </c>
      <c r="E51" s="4" t="s">
        <v>127</v>
      </c>
      <c r="F51" s="4" t="s">
        <v>529</v>
      </c>
      <c r="G51" s="4" t="s">
        <v>530</v>
      </c>
      <c r="H51" s="4" t="s">
        <v>373</v>
      </c>
      <c r="I51" s="4" t="s">
        <v>84</v>
      </c>
      <c r="J51" s="4" t="s">
        <v>531</v>
      </c>
      <c r="K51" s="4" t="s">
        <v>532</v>
      </c>
      <c r="L51" s="4" t="s">
        <v>373</v>
      </c>
      <c r="M51" s="4" t="s">
        <v>103</v>
      </c>
      <c r="N51" s="4" t="s">
        <v>533</v>
      </c>
      <c r="O51" s="4" t="s">
        <v>534</v>
      </c>
      <c r="P51" s="4" t="s">
        <v>174</v>
      </c>
      <c r="Q51" s="4" t="s">
        <v>103</v>
      </c>
    </row>
    <row r="52" spans="1:17" x14ac:dyDescent="0.3">
      <c r="A52" s="4" t="s">
        <v>535</v>
      </c>
    </row>
    <row r="53" spans="1:17" x14ac:dyDescent="0.3">
      <c r="A53" s="6" t="s">
        <v>69</v>
      </c>
      <c r="B53" s="4" t="s">
        <v>70</v>
      </c>
      <c r="C53" s="4" t="s">
        <v>71</v>
      </c>
      <c r="D53" s="4" t="s">
        <v>70</v>
      </c>
      <c r="E53" s="4" t="s">
        <v>62</v>
      </c>
      <c r="F53" s="4" t="s">
        <v>74</v>
      </c>
      <c r="G53" s="4" t="s">
        <v>75</v>
      </c>
      <c r="H53" s="4" t="s">
        <v>74</v>
      </c>
      <c r="I53" s="4" t="s">
        <v>62</v>
      </c>
      <c r="J53" s="4" t="s">
        <v>78</v>
      </c>
      <c r="K53" s="4" t="s">
        <v>79</v>
      </c>
      <c r="L53" s="4" t="s">
        <v>78</v>
      </c>
      <c r="M53" s="4" t="s">
        <v>62</v>
      </c>
      <c r="N53" s="4" t="s">
        <v>81</v>
      </c>
      <c r="O53" s="4" t="s">
        <v>82</v>
      </c>
      <c r="P53" s="4" t="s">
        <v>81</v>
      </c>
      <c r="Q53" s="4" t="s">
        <v>62</v>
      </c>
    </row>
    <row r="54" spans="1:17" x14ac:dyDescent="0.3">
      <c r="A54" s="7" t="s">
        <v>536</v>
      </c>
      <c r="B54" s="4" t="s">
        <v>537</v>
      </c>
      <c r="C54" s="4" t="s">
        <v>538</v>
      </c>
      <c r="D54" s="4" t="s">
        <v>539</v>
      </c>
      <c r="E54" s="4" t="s">
        <v>107</v>
      </c>
      <c r="F54" s="4" t="s">
        <v>540</v>
      </c>
      <c r="G54" s="4" t="s">
        <v>541</v>
      </c>
      <c r="H54" s="4" t="s">
        <v>542</v>
      </c>
      <c r="I54" s="4" t="s">
        <v>109</v>
      </c>
      <c r="J54" s="4" t="s">
        <v>543</v>
      </c>
      <c r="K54" s="4" t="s">
        <v>544</v>
      </c>
      <c r="L54" s="4" t="s">
        <v>545</v>
      </c>
      <c r="M54" s="4" t="s">
        <v>158</v>
      </c>
      <c r="N54" s="4" t="s">
        <v>546</v>
      </c>
      <c r="O54" s="4" t="s">
        <v>547</v>
      </c>
      <c r="P54" s="4" t="s">
        <v>548</v>
      </c>
      <c r="Q54" s="4" t="s">
        <v>77</v>
      </c>
    </row>
    <row r="55" spans="1:17" x14ac:dyDescent="0.3">
      <c r="A55" s="7" t="s">
        <v>549</v>
      </c>
      <c r="B55" s="4" t="s">
        <v>550</v>
      </c>
      <c r="C55" s="4" t="s">
        <v>551</v>
      </c>
      <c r="D55" s="4" t="s">
        <v>552</v>
      </c>
      <c r="E55" s="4" t="s">
        <v>107</v>
      </c>
      <c r="F55" s="4" t="s">
        <v>553</v>
      </c>
      <c r="G55" s="4" t="s">
        <v>554</v>
      </c>
      <c r="H55" s="4" t="s">
        <v>555</v>
      </c>
      <c r="I55" s="4" t="s">
        <v>109</v>
      </c>
      <c r="J55" s="4" t="s">
        <v>556</v>
      </c>
      <c r="K55" s="4" t="s">
        <v>557</v>
      </c>
      <c r="L55" s="4" t="s">
        <v>558</v>
      </c>
      <c r="M55" s="4" t="s">
        <v>158</v>
      </c>
      <c r="N55" s="4" t="s">
        <v>559</v>
      </c>
      <c r="O55" s="4" t="s">
        <v>560</v>
      </c>
      <c r="P55" s="4" t="s">
        <v>561</v>
      </c>
      <c r="Q55" s="4" t="s">
        <v>77</v>
      </c>
    </row>
    <row r="56" spans="1:17" ht="28.8" x14ac:dyDescent="0.3">
      <c r="A56" s="7" t="s">
        <v>562</v>
      </c>
      <c r="B56" s="4" t="s">
        <v>563</v>
      </c>
      <c r="C56" s="4" t="s">
        <v>564</v>
      </c>
      <c r="D56" s="4" t="s">
        <v>62</v>
      </c>
      <c r="E56" s="4" t="s">
        <v>62</v>
      </c>
      <c r="F56" s="4" t="s">
        <v>565</v>
      </c>
      <c r="G56" s="4" t="s">
        <v>566</v>
      </c>
      <c r="H56" s="4" t="s">
        <v>62</v>
      </c>
      <c r="I56" s="4" t="s">
        <v>62</v>
      </c>
      <c r="J56" s="4" t="s">
        <v>567</v>
      </c>
      <c r="K56" s="4" t="s">
        <v>568</v>
      </c>
      <c r="L56" s="4" t="s">
        <v>62</v>
      </c>
      <c r="M56" s="4" t="s">
        <v>62</v>
      </c>
      <c r="N56" s="4" t="s">
        <v>569</v>
      </c>
      <c r="O56" s="4" t="s">
        <v>570</v>
      </c>
      <c r="P56" s="4" t="s">
        <v>62</v>
      </c>
      <c r="Q56" s="4" t="s">
        <v>62</v>
      </c>
    </row>
    <row r="57" spans="1:17" ht="28.8" x14ac:dyDescent="0.3">
      <c r="A57" s="7" t="s">
        <v>571</v>
      </c>
      <c r="B57" s="4" t="s">
        <v>572</v>
      </c>
      <c r="C57" s="4" t="s">
        <v>573</v>
      </c>
      <c r="D57" s="4" t="s">
        <v>62</v>
      </c>
      <c r="E57" s="4" t="s">
        <v>62</v>
      </c>
      <c r="F57" s="4" t="s">
        <v>574</v>
      </c>
      <c r="G57" s="4" t="s">
        <v>566</v>
      </c>
      <c r="H57" s="4" t="s">
        <v>62</v>
      </c>
      <c r="I57" s="4" t="s">
        <v>62</v>
      </c>
      <c r="J57" s="4" t="s">
        <v>563</v>
      </c>
      <c r="K57" s="4" t="s">
        <v>566</v>
      </c>
      <c r="L57" s="4" t="s">
        <v>62</v>
      </c>
      <c r="M57" s="4" t="s">
        <v>62</v>
      </c>
      <c r="N57" s="4" t="s">
        <v>574</v>
      </c>
      <c r="O57" s="4" t="s">
        <v>575</v>
      </c>
      <c r="P57" s="4" t="s">
        <v>62</v>
      </c>
      <c r="Q57" s="4" t="s">
        <v>62</v>
      </c>
    </row>
    <row r="58" spans="1:17" ht="28.8" x14ac:dyDescent="0.3">
      <c r="A58" s="4" t="s">
        <v>576</v>
      </c>
    </row>
    <row r="59" spans="1:17" x14ac:dyDescent="0.3">
      <c r="A59" s="6" t="s">
        <v>69</v>
      </c>
      <c r="B59" s="4" t="s">
        <v>70</v>
      </c>
      <c r="C59" s="4" t="s">
        <v>71</v>
      </c>
      <c r="D59" s="4" t="s">
        <v>70</v>
      </c>
      <c r="E59" s="4" t="s">
        <v>62</v>
      </c>
      <c r="F59" s="4" t="s">
        <v>74</v>
      </c>
      <c r="G59" s="4" t="s">
        <v>75</v>
      </c>
      <c r="H59" s="4" t="s">
        <v>74</v>
      </c>
      <c r="I59" s="4" t="s">
        <v>62</v>
      </c>
      <c r="J59" s="4" t="s">
        <v>78</v>
      </c>
      <c r="K59" s="4" t="s">
        <v>79</v>
      </c>
      <c r="L59" s="4" t="s">
        <v>78</v>
      </c>
      <c r="M59" s="4" t="s">
        <v>62</v>
      </c>
      <c r="N59" s="4" t="s">
        <v>81</v>
      </c>
      <c r="O59" s="4" t="s">
        <v>82</v>
      </c>
      <c r="P59" s="4" t="s">
        <v>81</v>
      </c>
      <c r="Q59" s="4" t="s">
        <v>62</v>
      </c>
    </row>
    <row r="60" spans="1:17" x14ac:dyDescent="0.3">
      <c r="A60" s="7" t="s">
        <v>577</v>
      </c>
      <c r="B60" s="4" t="s">
        <v>578</v>
      </c>
      <c r="C60" s="4" t="s">
        <v>579</v>
      </c>
      <c r="D60" s="4" t="s">
        <v>580</v>
      </c>
      <c r="E60" s="4" t="s">
        <v>158</v>
      </c>
      <c r="F60" s="4" t="s">
        <v>581</v>
      </c>
      <c r="G60" s="4" t="s">
        <v>582</v>
      </c>
      <c r="H60" s="4" t="s">
        <v>457</v>
      </c>
      <c r="I60" s="4" t="s">
        <v>77</v>
      </c>
      <c r="J60" s="4" t="s">
        <v>583</v>
      </c>
      <c r="K60" s="4" t="s">
        <v>584</v>
      </c>
      <c r="L60" s="4" t="s">
        <v>265</v>
      </c>
      <c r="M60" s="4" t="s">
        <v>77</v>
      </c>
      <c r="N60" s="4" t="s">
        <v>585</v>
      </c>
      <c r="O60" s="4" t="s">
        <v>586</v>
      </c>
      <c r="P60" s="4" t="s">
        <v>174</v>
      </c>
      <c r="Q60" s="4" t="s">
        <v>84</v>
      </c>
    </row>
    <row r="61" spans="1:17" x14ac:dyDescent="0.3">
      <c r="A61" s="7" t="s">
        <v>587</v>
      </c>
      <c r="B61" s="4" t="s">
        <v>588</v>
      </c>
      <c r="C61" s="4" t="s">
        <v>589</v>
      </c>
      <c r="D61" s="4" t="s">
        <v>590</v>
      </c>
      <c r="E61" s="4" t="s">
        <v>591</v>
      </c>
      <c r="F61" s="4" t="s">
        <v>592</v>
      </c>
      <c r="G61" s="4" t="s">
        <v>593</v>
      </c>
      <c r="H61" s="4" t="s">
        <v>594</v>
      </c>
      <c r="I61" s="4" t="s">
        <v>109</v>
      </c>
      <c r="J61" s="4" t="s">
        <v>595</v>
      </c>
      <c r="K61" s="4" t="s">
        <v>596</v>
      </c>
      <c r="L61" s="4" t="s">
        <v>597</v>
      </c>
      <c r="M61" s="4" t="s">
        <v>158</v>
      </c>
      <c r="N61" s="4" t="s">
        <v>598</v>
      </c>
      <c r="O61" s="4" t="s">
        <v>599</v>
      </c>
      <c r="P61" s="4" t="s">
        <v>600</v>
      </c>
      <c r="Q61" s="4" t="s">
        <v>127</v>
      </c>
    </row>
    <row r="62" spans="1:17" x14ac:dyDescent="0.3">
      <c r="A62" s="7" t="s">
        <v>601</v>
      </c>
      <c r="B62" s="4" t="s">
        <v>602</v>
      </c>
      <c r="C62" s="4" t="s">
        <v>603</v>
      </c>
      <c r="D62" s="4" t="s">
        <v>604</v>
      </c>
      <c r="E62" s="4" t="s">
        <v>117</v>
      </c>
      <c r="F62" s="4" t="s">
        <v>605</v>
      </c>
      <c r="G62" s="4" t="s">
        <v>557</v>
      </c>
      <c r="H62" s="4" t="s">
        <v>606</v>
      </c>
      <c r="I62" s="4" t="s">
        <v>109</v>
      </c>
      <c r="J62" s="4" t="s">
        <v>607</v>
      </c>
      <c r="K62" s="4" t="s">
        <v>608</v>
      </c>
      <c r="L62" s="4" t="s">
        <v>609</v>
      </c>
      <c r="M62" s="4" t="s">
        <v>109</v>
      </c>
      <c r="N62" s="4" t="s">
        <v>610</v>
      </c>
      <c r="O62" s="4" t="s">
        <v>611</v>
      </c>
      <c r="P62" s="4" t="s">
        <v>612</v>
      </c>
      <c r="Q62" s="4" t="s">
        <v>127</v>
      </c>
    </row>
    <row r="63" spans="1:17" x14ac:dyDescent="0.3">
      <c r="A63" s="7" t="s">
        <v>613</v>
      </c>
      <c r="B63" s="4" t="s">
        <v>614</v>
      </c>
      <c r="C63" s="4" t="s">
        <v>615</v>
      </c>
      <c r="D63" s="4" t="s">
        <v>616</v>
      </c>
      <c r="E63" s="4" t="s">
        <v>617</v>
      </c>
      <c r="F63" s="4" t="s">
        <v>618</v>
      </c>
      <c r="G63" s="4" t="s">
        <v>619</v>
      </c>
      <c r="H63" s="4" t="s">
        <v>620</v>
      </c>
      <c r="I63" s="4" t="s">
        <v>77</v>
      </c>
      <c r="J63" s="4" t="s">
        <v>621</v>
      </c>
      <c r="K63" s="4" t="s">
        <v>622</v>
      </c>
      <c r="L63" s="4" t="s">
        <v>416</v>
      </c>
      <c r="M63" s="4" t="s">
        <v>100</v>
      </c>
      <c r="N63" s="4" t="s">
        <v>623</v>
      </c>
      <c r="O63" s="4" t="s">
        <v>624</v>
      </c>
      <c r="P63" s="4" t="s">
        <v>625</v>
      </c>
      <c r="Q63" s="4" t="s">
        <v>127</v>
      </c>
    </row>
    <row r="64" spans="1:17" x14ac:dyDescent="0.3">
      <c r="A64" s="7" t="s">
        <v>626</v>
      </c>
      <c r="B64" s="4" t="s">
        <v>627</v>
      </c>
      <c r="C64" s="4" t="s">
        <v>628</v>
      </c>
      <c r="D64" s="4" t="s">
        <v>629</v>
      </c>
      <c r="E64" s="4" t="s">
        <v>158</v>
      </c>
      <c r="F64" s="4" t="s">
        <v>630</v>
      </c>
      <c r="G64" s="4" t="s">
        <v>631</v>
      </c>
      <c r="H64" s="4" t="s">
        <v>632</v>
      </c>
      <c r="I64" s="4" t="s">
        <v>127</v>
      </c>
      <c r="J64" s="4" t="s">
        <v>633</v>
      </c>
      <c r="K64" s="4" t="s">
        <v>634</v>
      </c>
      <c r="L64" s="4" t="s">
        <v>177</v>
      </c>
      <c r="M64" s="4" t="s">
        <v>127</v>
      </c>
      <c r="N64" s="4" t="s">
        <v>635</v>
      </c>
      <c r="O64" s="4" t="s">
        <v>636</v>
      </c>
      <c r="P64" s="4" t="s">
        <v>450</v>
      </c>
      <c r="Q64" s="4" t="s">
        <v>84</v>
      </c>
    </row>
    <row r="65" spans="1:17" x14ac:dyDescent="0.3">
      <c r="A65" s="7" t="s">
        <v>637</v>
      </c>
      <c r="B65" s="4" t="s">
        <v>638</v>
      </c>
      <c r="C65" s="4" t="s">
        <v>639</v>
      </c>
      <c r="D65" s="4" t="s">
        <v>640</v>
      </c>
      <c r="E65" s="4" t="s">
        <v>185</v>
      </c>
      <c r="F65" s="4" t="s">
        <v>641</v>
      </c>
      <c r="G65" s="4" t="s">
        <v>642</v>
      </c>
      <c r="H65" s="4" t="s">
        <v>331</v>
      </c>
      <c r="I65" s="4" t="s">
        <v>127</v>
      </c>
      <c r="J65" s="4" t="s">
        <v>643</v>
      </c>
      <c r="K65" s="4" t="s">
        <v>644</v>
      </c>
      <c r="L65" s="4" t="s">
        <v>645</v>
      </c>
      <c r="M65" s="4" t="s">
        <v>77</v>
      </c>
      <c r="N65" s="4" t="s">
        <v>646</v>
      </c>
      <c r="O65" s="4" t="s">
        <v>647</v>
      </c>
      <c r="P65" s="4" t="s">
        <v>648</v>
      </c>
      <c r="Q65" s="4" t="s">
        <v>84</v>
      </c>
    </row>
    <row r="66" spans="1:17" x14ac:dyDescent="0.3">
      <c r="A66" s="4" t="s">
        <v>649</v>
      </c>
    </row>
    <row r="67" spans="1:17" x14ac:dyDescent="0.3">
      <c r="A67" s="6" t="s">
        <v>69</v>
      </c>
      <c r="B67" s="4" t="s">
        <v>70</v>
      </c>
      <c r="C67" s="4" t="s">
        <v>71</v>
      </c>
      <c r="D67" s="4" t="s">
        <v>70</v>
      </c>
      <c r="E67" s="4" t="s">
        <v>62</v>
      </c>
      <c r="F67" s="4" t="s">
        <v>74</v>
      </c>
      <c r="G67" s="4" t="s">
        <v>75</v>
      </c>
      <c r="H67" s="4" t="s">
        <v>74</v>
      </c>
      <c r="I67" s="4" t="s">
        <v>62</v>
      </c>
      <c r="J67" s="4" t="s">
        <v>78</v>
      </c>
      <c r="K67" s="4" t="s">
        <v>79</v>
      </c>
      <c r="L67" s="4" t="s">
        <v>78</v>
      </c>
      <c r="M67" s="4" t="s">
        <v>62</v>
      </c>
      <c r="N67" s="4" t="s">
        <v>81</v>
      </c>
      <c r="O67" s="4" t="s">
        <v>82</v>
      </c>
      <c r="P67" s="4" t="s">
        <v>81</v>
      </c>
      <c r="Q67" s="4" t="s">
        <v>62</v>
      </c>
    </row>
    <row r="68" spans="1:17" x14ac:dyDescent="0.3">
      <c r="A68" s="7" t="s">
        <v>650</v>
      </c>
      <c r="B68" s="4" t="s">
        <v>651</v>
      </c>
      <c r="C68" s="4" t="s">
        <v>156</v>
      </c>
      <c r="D68" s="4" t="s">
        <v>171</v>
      </c>
      <c r="E68" s="4" t="s">
        <v>185</v>
      </c>
      <c r="F68" s="4" t="s">
        <v>652</v>
      </c>
      <c r="G68" s="4" t="s">
        <v>653</v>
      </c>
      <c r="H68" s="4" t="s">
        <v>654</v>
      </c>
      <c r="I68" s="4" t="s">
        <v>127</v>
      </c>
      <c r="J68" s="4" t="s">
        <v>655</v>
      </c>
      <c r="K68" s="4" t="s">
        <v>656</v>
      </c>
      <c r="L68" s="4" t="s">
        <v>430</v>
      </c>
      <c r="M68" s="4" t="s">
        <v>77</v>
      </c>
      <c r="N68" s="4" t="s">
        <v>657</v>
      </c>
      <c r="O68" s="4" t="s">
        <v>658</v>
      </c>
      <c r="P68" s="4" t="s">
        <v>659</v>
      </c>
      <c r="Q68" s="4" t="s">
        <v>103</v>
      </c>
    </row>
    <row r="69" spans="1:17" x14ac:dyDescent="0.3">
      <c r="A69" s="7" t="s">
        <v>660</v>
      </c>
      <c r="B69" s="4" t="s">
        <v>661</v>
      </c>
      <c r="C69" s="4" t="s">
        <v>662</v>
      </c>
      <c r="D69" s="4" t="s">
        <v>663</v>
      </c>
      <c r="E69" s="4" t="s">
        <v>664</v>
      </c>
      <c r="F69" s="4" t="s">
        <v>665</v>
      </c>
      <c r="G69" s="4" t="s">
        <v>666</v>
      </c>
      <c r="H69" s="4" t="s">
        <v>667</v>
      </c>
      <c r="I69" s="4" t="s">
        <v>109</v>
      </c>
      <c r="J69" s="4" t="s">
        <v>668</v>
      </c>
      <c r="K69" s="4" t="s">
        <v>669</v>
      </c>
      <c r="L69" s="4" t="s">
        <v>670</v>
      </c>
      <c r="M69" s="4" t="s">
        <v>185</v>
      </c>
      <c r="N69" s="4" t="s">
        <v>671</v>
      </c>
      <c r="O69" s="4" t="s">
        <v>672</v>
      </c>
      <c r="P69" s="4" t="s">
        <v>673</v>
      </c>
      <c r="Q69" s="4" t="s">
        <v>77</v>
      </c>
    </row>
    <row r="70" spans="1:17" x14ac:dyDescent="0.3">
      <c r="A70" s="7" t="s">
        <v>674</v>
      </c>
      <c r="B70" s="4" t="s">
        <v>675</v>
      </c>
      <c r="C70" s="4" t="s">
        <v>676</v>
      </c>
      <c r="D70" s="4" t="s">
        <v>677</v>
      </c>
      <c r="E70" s="4" t="s">
        <v>664</v>
      </c>
      <c r="F70" s="4" t="s">
        <v>678</v>
      </c>
      <c r="G70" s="4" t="s">
        <v>679</v>
      </c>
      <c r="H70" s="4" t="s">
        <v>680</v>
      </c>
      <c r="I70" s="4" t="s">
        <v>109</v>
      </c>
      <c r="J70" s="4" t="s">
        <v>681</v>
      </c>
      <c r="K70" s="4" t="s">
        <v>682</v>
      </c>
      <c r="L70" s="4" t="s">
        <v>683</v>
      </c>
      <c r="M70" s="4" t="s">
        <v>158</v>
      </c>
      <c r="N70" s="4" t="s">
        <v>684</v>
      </c>
      <c r="O70" s="4" t="s">
        <v>685</v>
      </c>
      <c r="P70" s="4" t="s">
        <v>686</v>
      </c>
      <c r="Q70" s="4" t="s">
        <v>77</v>
      </c>
    </row>
    <row r="71" spans="1:17" x14ac:dyDescent="0.3">
      <c r="A71" s="7" t="s">
        <v>687</v>
      </c>
      <c r="B71" s="4" t="s">
        <v>688</v>
      </c>
      <c r="C71" s="4" t="s">
        <v>689</v>
      </c>
      <c r="D71" s="4" t="s">
        <v>690</v>
      </c>
      <c r="E71" s="4" t="s">
        <v>117</v>
      </c>
      <c r="F71" s="4" t="s">
        <v>691</v>
      </c>
      <c r="G71" s="4" t="s">
        <v>692</v>
      </c>
      <c r="H71" s="4" t="s">
        <v>275</v>
      </c>
      <c r="I71" s="4" t="s">
        <v>77</v>
      </c>
      <c r="J71" s="4" t="s">
        <v>693</v>
      </c>
      <c r="K71" s="4" t="s">
        <v>694</v>
      </c>
      <c r="L71" s="4" t="s">
        <v>695</v>
      </c>
      <c r="M71" s="4" t="s">
        <v>100</v>
      </c>
      <c r="N71" s="4" t="s">
        <v>696</v>
      </c>
      <c r="O71" s="4" t="s">
        <v>697</v>
      </c>
      <c r="P71" s="4" t="s">
        <v>698</v>
      </c>
      <c r="Q71" s="4" t="s">
        <v>127</v>
      </c>
    </row>
    <row r="72" spans="1:17" x14ac:dyDescent="0.3">
      <c r="A72" s="4" t="s">
        <v>699</v>
      </c>
    </row>
    <row r="73" spans="1:17" x14ac:dyDescent="0.3">
      <c r="A73" s="6" t="s">
        <v>69</v>
      </c>
      <c r="B73" s="4" t="s">
        <v>70</v>
      </c>
      <c r="C73" s="4" t="s">
        <v>71</v>
      </c>
      <c r="D73" s="4" t="s">
        <v>70</v>
      </c>
      <c r="E73" s="4" t="s">
        <v>62</v>
      </c>
      <c r="F73" s="4" t="s">
        <v>74</v>
      </c>
      <c r="G73" s="4" t="s">
        <v>75</v>
      </c>
      <c r="H73" s="4" t="s">
        <v>74</v>
      </c>
      <c r="I73" s="4" t="s">
        <v>62</v>
      </c>
      <c r="J73" s="4" t="s">
        <v>78</v>
      </c>
      <c r="K73" s="4" t="s">
        <v>79</v>
      </c>
      <c r="L73" s="4" t="s">
        <v>78</v>
      </c>
      <c r="M73" s="4" t="s">
        <v>62</v>
      </c>
      <c r="N73" s="4" t="s">
        <v>81</v>
      </c>
      <c r="O73" s="4" t="s">
        <v>82</v>
      </c>
      <c r="P73" s="4" t="s">
        <v>81</v>
      </c>
      <c r="Q73" s="4" t="s">
        <v>62</v>
      </c>
    </row>
    <row r="74" spans="1:17" x14ac:dyDescent="0.3">
      <c r="A74" s="7" t="s">
        <v>700</v>
      </c>
      <c r="B74" s="4" t="s">
        <v>701</v>
      </c>
      <c r="C74" s="4" t="s">
        <v>702</v>
      </c>
      <c r="D74" s="4" t="s">
        <v>703</v>
      </c>
      <c r="E74" s="4" t="s">
        <v>394</v>
      </c>
      <c r="F74" s="4" t="s">
        <v>704</v>
      </c>
      <c r="G74" s="4" t="s">
        <v>705</v>
      </c>
      <c r="H74" s="4" t="s">
        <v>706</v>
      </c>
      <c r="I74" s="4" t="s">
        <v>103</v>
      </c>
      <c r="J74" s="4" t="s">
        <v>707</v>
      </c>
      <c r="K74" s="4" t="s">
        <v>708</v>
      </c>
      <c r="L74" s="4" t="s">
        <v>709</v>
      </c>
      <c r="M74" s="4" t="s">
        <v>158</v>
      </c>
      <c r="N74" s="4" t="s">
        <v>710</v>
      </c>
      <c r="O74" s="4" t="s">
        <v>711</v>
      </c>
      <c r="P74" s="4" t="s">
        <v>712</v>
      </c>
      <c r="Q74" s="4" t="s">
        <v>127</v>
      </c>
    </row>
    <row r="75" spans="1:17" x14ac:dyDescent="0.3">
      <c r="A75" s="7" t="s">
        <v>713</v>
      </c>
      <c r="B75" s="4" t="s">
        <v>714</v>
      </c>
      <c r="C75" s="4" t="s">
        <v>715</v>
      </c>
      <c r="D75" s="4" t="s">
        <v>253</v>
      </c>
      <c r="E75" s="4" t="s">
        <v>84</v>
      </c>
      <c r="F75" s="4" t="s">
        <v>716</v>
      </c>
      <c r="G75" s="4" t="s">
        <v>717</v>
      </c>
      <c r="H75" s="4" t="s">
        <v>718</v>
      </c>
      <c r="I75" s="4" t="s">
        <v>153</v>
      </c>
      <c r="J75" s="4" t="s">
        <v>719</v>
      </c>
      <c r="K75" s="4" t="s">
        <v>720</v>
      </c>
      <c r="L75" s="4" t="s">
        <v>718</v>
      </c>
      <c r="M75" s="4" t="s">
        <v>103</v>
      </c>
      <c r="N75" s="4" t="s">
        <v>721</v>
      </c>
      <c r="O75" s="4" t="s">
        <v>705</v>
      </c>
      <c r="P75" s="4" t="s">
        <v>149</v>
      </c>
      <c r="Q75" s="4" t="s">
        <v>153</v>
      </c>
    </row>
    <row r="76" spans="1:17" x14ac:dyDescent="0.3">
      <c r="A76" s="7" t="s">
        <v>722</v>
      </c>
      <c r="B76" s="4" t="s">
        <v>723</v>
      </c>
      <c r="C76" s="4" t="s">
        <v>193</v>
      </c>
      <c r="D76" s="4" t="s">
        <v>724</v>
      </c>
      <c r="E76" s="4" t="s">
        <v>394</v>
      </c>
      <c r="F76" s="4" t="s">
        <v>725</v>
      </c>
      <c r="G76" s="4" t="s">
        <v>726</v>
      </c>
      <c r="H76" s="4" t="s">
        <v>727</v>
      </c>
      <c r="I76" s="4" t="s">
        <v>84</v>
      </c>
      <c r="J76" s="4" t="s">
        <v>728</v>
      </c>
      <c r="K76" s="4" t="s">
        <v>729</v>
      </c>
      <c r="L76" s="4" t="s">
        <v>730</v>
      </c>
      <c r="M76" s="4" t="s">
        <v>158</v>
      </c>
      <c r="N76" s="4" t="s">
        <v>731</v>
      </c>
      <c r="O76" s="4" t="s">
        <v>512</v>
      </c>
      <c r="P76" s="4" t="s">
        <v>732</v>
      </c>
      <c r="Q76" s="4" t="s">
        <v>127</v>
      </c>
    </row>
    <row r="77" spans="1:17" x14ac:dyDescent="0.3">
      <c r="A77" s="7" t="s">
        <v>733</v>
      </c>
      <c r="B77" s="4" t="s">
        <v>734</v>
      </c>
      <c r="C77" s="4" t="s">
        <v>735</v>
      </c>
      <c r="D77" s="4" t="s">
        <v>223</v>
      </c>
      <c r="E77" s="4" t="s">
        <v>153</v>
      </c>
      <c r="F77" s="4" t="s">
        <v>736</v>
      </c>
      <c r="G77" s="4" t="s">
        <v>737</v>
      </c>
      <c r="H77" s="4" t="s">
        <v>738</v>
      </c>
      <c r="I77" s="4" t="s">
        <v>153</v>
      </c>
      <c r="J77" s="4" t="s">
        <v>739</v>
      </c>
      <c r="K77" s="4" t="s">
        <v>740</v>
      </c>
      <c r="L77" s="4" t="s">
        <v>223</v>
      </c>
      <c r="M77" s="4" t="s">
        <v>153</v>
      </c>
      <c r="N77" s="4" t="s">
        <v>741</v>
      </c>
      <c r="O77" s="4" t="s">
        <v>742</v>
      </c>
      <c r="P77" s="4" t="s">
        <v>743</v>
      </c>
      <c r="Q77" s="4" t="s">
        <v>153</v>
      </c>
    </row>
    <row r="78" spans="1:17" x14ac:dyDescent="0.3">
      <c r="A78" s="7" t="s">
        <v>744</v>
      </c>
      <c r="B78" s="4" t="s">
        <v>745</v>
      </c>
      <c r="C78" s="4" t="s">
        <v>746</v>
      </c>
      <c r="D78" s="4" t="s">
        <v>226</v>
      </c>
      <c r="E78" s="4" t="s">
        <v>153</v>
      </c>
      <c r="F78" s="4" t="s">
        <v>747</v>
      </c>
      <c r="G78" s="4" t="s">
        <v>748</v>
      </c>
      <c r="H78" s="4" t="s">
        <v>226</v>
      </c>
      <c r="I78" s="4" t="s">
        <v>153</v>
      </c>
      <c r="J78" s="4" t="s">
        <v>749</v>
      </c>
      <c r="K78" s="4" t="s">
        <v>750</v>
      </c>
      <c r="L78" s="4" t="s">
        <v>226</v>
      </c>
      <c r="M78" s="4" t="s">
        <v>153</v>
      </c>
      <c r="N78" s="4" t="s">
        <v>751</v>
      </c>
      <c r="O78" s="4" t="s">
        <v>752</v>
      </c>
      <c r="P78" s="4" t="s">
        <v>226</v>
      </c>
      <c r="Q78" s="4" t="s">
        <v>153</v>
      </c>
    </row>
    <row r="79" spans="1:17" x14ac:dyDescent="0.3">
      <c r="A79" s="7" t="s">
        <v>753</v>
      </c>
      <c r="B79" s="4" t="s">
        <v>754</v>
      </c>
      <c r="C79" s="4" t="s">
        <v>755</v>
      </c>
      <c r="D79" s="4" t="s">
        <v>756</v>
      </c>
      <c r="E79" s="4" t="s">
        <v>153</v>
      </c>
      <c r="F79" s="4" t="s">
        <v>757</v>
      </c>
      <c r="G79" s="4" t="s">
        <v>758</v>
      </c>
      <c r="H79" s="4" t="s">
        <v>223</v>
      </c>
      <c r="I79" s="4" t="s">
        <v>153</v>
      </c>
      <c r="J79" s="4" t="s">
        <v>759</v>
      </c>
      <c r="K79" s="4" t="s">
        <v>760</v>
      </c>
      <c r="L79" s="4" t="s">
        <v>223</v>
      </c>
      <c r="M79" s="4" t="s">
        <v>153</v>
      </c>
      <c r="N79" s="4" t="s">
        <v>761</v>
      </c>
      <c r="O79" s="4" t="s">
        <v>762</v>
      </c>
      <c r="P79" s="4" t="s">
        <v>763</v>
      </c>
      <c r="Q79" s="4" t="s">
        <v>153</v>
      </c>
    </row>
    <row r="80" spans="1:17" x14ac:dyDescent="0.3">
      <c r="A80" s="7" t="s">
        <v>764</v>
      </c>
      <c r="B80" s="4" t="s">
        <v>745</v>
      </c>
      <c r="C80" s="4" t="s">
        <v>746</v>
      </c>
      <c r="D80" s="4" t="s">
        <v>226</v>
      </c>
      <c r="E80" s="4" t="s">
        <v>153</v>
      </c>
      <c r="F80" s="4" t="s">
        <v>765</v>
      </c>
      <c r="G80" s="4" t="s">
        <v>222</v>
      </c>
      <c r="H80" s="4" t="s">
        <v>223</v>
      </c>
      <c r="I80" s="4" t="s">
        <v>153</v>
      </c>
      <c r="J80" s="4" t="s">
        <v>766</v>
      </c>
      <c r="K80" s="4" t="s">
        <v>767</v>
      </c>
      <c r="L80" s="4" t="s">
        <v>226</v>
      </c>
      <c r="M80" s="4" t="s">
        <v>153</v>
      </c>
      <c r="N80" s="4" t="s">
        <v>768</v>
      </c>
      <c r="O80" s="4" t="s">
        <v>769</v>
      </c>
      <c r="P80" s="4" t="s">
        <v>226</v>
      </c>
      <c r="Q80" s="4" t="s">
        <v>153</v>
      </c>
    </row>
    <row r="81" spans="1:17" x14ac:dyDescent="0.3">
      <c r="A81" s="7" t="s">
        <v>770</v>
      </c>
      <c r="B81" s="4" t="s">
        <v>745</v>
      </c>
      <c r="C81" s="4" t="s">
        <v>746</v>
      </c>
      <c r="D81" s="4" t="s">
        <v>226</v>
      </c>
      <c r="E81" s="4" t="s">
        <v>153</v>
      </c>
      <c r="F81" s="4" t="s">
        <v>771</v>
      </c>
      <c r="G81" s="4" t="s">
        <v>772</v>
      </c>
      <c r="H81" s="4" t="s">
        <v>226</v>
      </c>
      <c r="I81" s="4" t="s">
        <v>153</v>
      </c>
      <c r="J81" s="4" t="s">
        <v>773</v>
      </c>
      <c r="K81" s="4" t="s">
        <v>774</v>
      </c>
      <c r="L81" s="4" t="s">
        <v>223</v>
      </c>
      <c r="M81" s="4" t="s">
        <v>153</v>
      </c>
      <c r="N81" s="4" t="s">
        <v>775</v>
      </c>
      <c r="O81" s="4" t="s">
        <v>776</v>
      </c>
      <c r="P81" s="4" t="s">
        <v>756</v>
      </c>
      <c r="Q81" s="4" t="s">
        <v>153</v>
      </c>
    </row>
    <row r="82" spans="1:17" x14ac:dyDescent="0.3">
      <c r="A82" s="7" t="s">
        <v>777</v>
      </c>
      <c r="B82" s="4" t="s">
        <v>778</v>
      </c>
      <c r="C82" s="4" t="s">
        <v>779</v>
      </c>
      <c r="D82" s="4" t="s">
        <v>763</v>
      </c>
      <c r="E82" s="4" t="s">
        <v>84</v>
      </c>
      <c r="F82" s="4" t="s">
        <v>780</v>
      </c>
      <c r="G82" s="4" t="s">
        <v>781</v>
      </c>
      <c r="H82" s="4" t="s">
        <v>782</v>
      </c>
      <c r="I82" s="4" t="s">
        <v>103</v>
      </c>
      <c r="J82" s="4" t="s">
        <v>783</v>
      </c>
      <c r="K82" s="4" t="s">
        <v>784</v>
      </c>
      <c r="L82" s="4" t="s">
        <v>763</v>
      </c>
      <c r="M82" s="4" t="s">
        <v>153</v>
      </c>
      <c r="N82" s="4" t="s">
        <v>785</v>
      </c>
      <c r="O82" s="4" t="s">
        <v>786</v>
      </c>
      <c r="P82" s="4" t="s">
        <v>763</v>
      </c>
      <c r="Q82" s="4" t="s">
        <v>153</v>
      </c>
    </row>
    <row r="83" spans="1:17" x14ac:dyDescent="0.3">
      <c r="A83" s="4" t="s">
        <v>787</v>
      </c>
    </row>
    <row r="84" spans="1:17" x14ac:dyDescent="0.3">
      <c r="A84" s="6" t="s">
        <v>69</v>
      </c>
      <c r="B84" s="4" t="s">
        <v>70</v>
      </c>
      <c r="C84" s="4" t="s">
        <v>71</v>
      </c>
      <c r="D84" s="4" t="s">
        <v>70</v>
      </c>
      <c r="E84" s="4" t="s">
        <v>62</v>
      </c>
      <c r="F84" s="4" t="s">
        <v>74</v>
      </c>
      <c r="G84" s="4" t="s">
        <v>75</v>
      </c>
      <c r="H84" s="4" t="s">
        <v>74</v>
      </c>
      <c r="I84" s="4" t="s">
        <v>62</v>
      </c>
      <c r="J84" s="4" t="s">
        <v>78</v>
      </c>
      <c r="K84" s="4" t="s">
        <v>79</v>
      </c>
      <c r="L84" s="4" t="s">
        <v>78</v>
      </c>
      <c r="M84" s="4" t="s">
        <v>62</v>
      </c>
      <c r="N84" s="4" t="s">
        <v>81</v>
      </c>
      <c r="O84" s="4" t="s">
        <v>82</v>
      </c>
      <c r="P84" s="4" t="s">
        <v>81</v>
      </c>
      <c r="Q84" s="4" t="s">
        <v>62</v>
      </c>
    </row>
    <row r="85" spans="1:17" ht="28.8" x14ac:dyDescent="0.3">
      <c r="A85" s="7" t="s">
        <v>788</v>
      </c>
      <c r="B85" s="4" t="s">
        <v>789</v>
      </c>
      <c r="C85" s="4" t="s">
        <v>790</v>
      </c>
      <c r="D85" s="4" t="s">
        <v>738</v>
      </c>
      <c r="E85" s="4" t="s">
        <v>103</v>
      </c>
      <c r="F85" s="4" t="s">
        <v>791</v>
      </c>
      <c r="G85" s="4" t="s">
        <v>792</v>
      </c>
      <c r="H85" s="4" t="s">
        <v>756</v>
      </c>
      <c r="I85" s="4" t="s">
        <v>153</v>
      </c>
      <c r="J85" s="4" t="s">
        <v>793</v>
      </c>
      <c r="K85" s="4" t="s">
        <v>794</v>
      </c>
      <c r="L85" s="4" t="s">
        <v>738</v>
      </c>
      <c r="M85" s="4" t="s">
        <v>153</v>
      </c>
      <c r="N85" s="4" t="s">
        <v>795</v>
      </c>
      <c r="O85" s="4" t="s">
        <v>796</v>
      </c>
      <c r="P85" s="4" t="s">
        <v>797</v>
      </c>
      <c r="Q85" s="4" t="s">
        <v>153</v>
      </c>
    </row>
    <row r="86" spans="1:17" ht="28.8" x14ac:dyDescent="0.3">
      <c r="A86" s="7" t="s">
        <v>798</v>
      </c>
      <c r="B86" s="4" t="s">
        <v>799</v>
      </c>
      <c r="C86" s="4" t="s">
        <v>800</v>
      </c>
      <c r="D86" s="4" t="s">
        <v>718</v>
      </c>
      <c r="E86" s="4" t="s">
        <v>84</v>
      </c>
      <c r="F86" s="4" t="s">
        <v>801</v>
      </c>
      <c r="G86" s="4" t="s">
        <v>802</v>
      </c>
      <c r="H86" s="4" t="s">
        <v>803</v>
      </c>
      <c r="I86" s="4" t="s">
        <v>153</v>
      </c>
      <c r="J86" s="4" t="s">
        <v>804</v>
      </c>
      <c r="K86" s="4" t="s">
        <v>805</v>
      </c>
      <c r="L86" s="4" t="s">
        <v>782</v>
      </c>
      <c r="M86" s="4" t="s">
        <v>103</v>
      </c>
      <c r="N86" s="4" t="s">
        <v>806</v>
      </c>
      <c r="O86" s="4" t="s">
        <v>807</v>
      </c>
      <c r="P86" s="4" t="s">
        <v>763</v>
      </c>
      <c r="Q86" s="4" t="s">
        <v>153</v>
      </c>
    </row>
    <row r="87" spans="1:17" x14ac:dyDescent="0.3">
      <c r="A87" s="7" t="s">
        <v>808</v>
      </c>
      <c r="B87" s="4" t="s">
        <v>809</v>
      </c>
      <c r="C87" s="4" t="s">
        <v>810</v>
      </c>
      <c r="D87" s="4" t="s">
        <v>811</v>
      </c>
      <c r="E87" s="4" t="s">
        <v>127</v>
      </c>
      <c r="F87" s="4" t="s">
        <v>812</v>
      </c>
      <c r="G87" s="4" t="s">
        <v>813</v>
      </c>
      <c r="H87" s="4" t="s">
        <v>814</v>
      </c>
      <c r="I87" s="4" t="s">
        <v>103</v>
      </c>
      <c r="J87" s="4" t="s">
        <v>815</v>
      </c>
      <c r="K87" s="4" t="s">
        <v>816</v>
      </c>
      <c r="L87" s="4" t="s">
        <v>811</v>
      </c>
      <c r="M87" s="4" t="s">
        <v>103</v>
      </c>
      <c r="N87" s="4" t="s">
        <v>817</v>
      </c>
      <c r="O87" s="4" t="s">
        <v>146</v>
      </c>
      <c r="P87" s="4" t="s">
        <v>818</v>
      </c>
      <c r="Q87" s="4" t="s">
        <v>153</v>
      </c>
    </row>
    <row r="88" spans="1:17" x14ac:dyDescent="0.3">
      <c r="A88" s="4" t="s">
        <v>819</v>
      </c>
    </row>
    <row r="89" spans="1:17" x14ac:dyDescent="0.3">
      <c r="A89" s="6" t="s">
        <v>69</v>
      </c>
      <c r="B89" s="4" t="s">
        <v>70</v>
      </c>
      <c r="C89" s="4" t="s">
        <v>71</v>
      </c>
      <c r="D89" s="4" t="s">
        <v>70</v>
      </c>
      <c r="E89" s="4" t="s">
        <v>62</v>
      </c>
      <c r="F89" s="4" t="s">
        <v>74</v>
      </c>
      <c r="G89" s="4" t="s">
        <v>75</v>
      </c>
      <c r="H89" s="4" t="s">
        <v>74</v>
      </c>
      <c r="I89" s="4" t="s">
        <v>62</v>
      </c>
      <c r="J89" s="4" t="s">
        <v>78</v>
      </c>
      <c r="K89" s="4" t="s">
        <v>79</v>
      </c>
      <c r="L89" s="4" t="s">
        <v>78</v>
      </c>
      <c r="M89" s="4" t="s">
        <v>62</v>
      </c>
      <c r="N89" s="4" t="s">
        <v>81</v>
      </c>
      <c r="O89" s="4" t="s">
        <v>82</v>
      </c>
      <c r="P89" s="4" t="s">
        <v>81</v>
      </c>
      <c r="Q89" s="4" t="s">
        <v>62</v>
      </c>
    </row>
    <row r="90" spans="1:17" x14ac:dyDescent="0.3">
      <c r="A90" s="7" t="s">
        <v>820</v>
      </c>
      <c r="B90" s="4" t="s">
        <v>821</v>
      </c>
      <c r="C90" s="4" t="s">
        <v>521</v>
      </c>
      <c r="D90" s="4" t="s">
        <v>822</v>
      </c>
      <c r="E90" s="4" t="s">
        <v>127</v>
      </c>
      <c r="F90" s="4" t="s">
        <v>823</v>
      </c>
      <c r="G90" s="4" t="s">
        <v>824</v>
      </c>
      <c r="H90" s="4" t="s">
        <v>825</v>
      </c>
      <c r="I90" s="4" t="s">
        <v>103</v>
      </c>
      <c r="J90" s="4" t="s">
        <v>826</v>
      </c>
      <c r="K90" s="4" t="s">
        <v>827</v>
      </c>
      <c r="L90" s="4" t="s">
        <v>828</v>
      </c>
      <c r="M90" s="4" t="s">
        <v>84</v>
      </c>
      <c r="N90" s="4" t="s">
        <v>829</v>
      </c>
      <c r="O90" s="4" t="s">
        <v>830</v>
      </c>
      <c r="P90" s="4" t="s">
        <v>831</v>
      </c>
      <c r="Q90" s="4" t="s">
        <v>103</v>
      </c>
    </row>
    <row r="91" spans="1:17" x14ac:dyDescent="0.3">
      <c r="A91" s="7" t="s">
        <v>832</v>
      </c>
      <c r="B91" s="4" t="s">
        <v>833</v>
      </c>
      <c r="C91" s="4" t="s">
        <v>834</v>
      </c>
      <c r="D91" s="4" t="s">
        <v>363</v>
      </c>
      <c r="E91" s="4" t="s">
        <v>127</v>
      </c>
      <c r="F91" s="4" t="s">
        <v>364</v>
      </c>
      <c r="G91" s="4" t="s">
        <v>835</v>
      </c>
      <c r="H91" s="4" t="s">
        <v>363</v>
      </c>
      <c r="I91" s="4" t="s">
        <v>103</v>
      </c>
      <c r="J91" s="4" t="s">
        <v>836</v>
      </c>
      <c r="K91" s="4" t="s">
        <v>837</v>
      </c>
      <c r="L91" s="4" t="s">
        <v>838</v>
      </c>
      <c r="M91" s="4" t="s">
        <v>103</v>
      </c>
      <c r="N91" s="4" t="s">
        <v>839</v>
      </c>
      <c r="O91" s="4" t="s">
        <v>840</v>
      </c>
      <c r="P91" s="4" t="s">
        <v>818</v>
      </c>
      <c r="Q91" s="4" t="s">
        <v>153</v>
      </c>
    </row>
    <row r="92" spans="1:17" x14ac:dyDescent="0.3">
      <c r="A92" s="7" t="s">
        <v>841</v>
      </c>
      <c r="B92" s="4" t="s">
        <v>842</v>
      </c>
      <c r="C92" s="4" t="s">
        <v>843</v>
      </c>
      <c r="D92" s="4" t="s">
        <v>718</v>
      </c>
      <c r="E92" s="4" t="s">
        <v>84</v>
      </c>
      <c r="F92" s="4" t="s">
        <v>844</v>
      </c>
      <c r="G92" s="4" t="s">
        <v>845</v>
      </c>
      <c r="H92" s="4" t="s">
        <v>803</v>
      </c>
      <c r="I92" s="4" t="s">
        <v>153</v>
      </c>
      <c r="J92" s="4" t="s">
        <v>846</v>
      </c>
      <c r="K92" s="4" t="s">
        <v>847</v>
      </c>
      <c r="L92" s="4" t="s">
        <v>803</v>
      </c>
      <c r="M92" s="4" t="s">
        <v>103</v>
      </c>
      <c r="N92" s="4" t="s">
        <v>848</v>
      </c>
      <c r="O92" s="4" t="s">
        <v>849</v>
      </c>
      <c r="P92" s="4" t="s">
        <v>763</v>
      </c>
      <c r="Q92" s="4" t="s">
        <v>153</v>
      </c>
    </row>
    <row r="93" spans="1:17" x14ac:dyDescent="0.3">
      <c r="A93" s="4" t="s">
        <v>850</v>
      </c>
    </row>
    <row r="94" spans="1:17" x14ac:dyDescent="0.3">
      <c r="A94" s="6" t="s">
        <v>851</v>
      </c>
      <c r="B94" s="4" t="s">
        <v>537</v>
      </c>
      <c r="C94" s="4" t="s">
        <v>538</v>
      </c>
      <c r="D94" s="4" t="s">
        <v>537</v>
      </c>
      <c r="E94" s="4" t="s">
        <v>62</v>
      </c>
      <c r="F94" s="4" t="s">
        <v>540</v>
      </c>
      <c r="G94" s="4" t="s">
        <v>541</v>
      </c>
      <c r="H94" s="4" t="s">
        <v>540</v>
      </c>
      <c r="I94" s="4" t="s">
        <v>62</v>
      </c>
      <c r="J94" s="4" t="s">
        <v>543</v>
      </c>
      <c r="K94" s="4" t="s">
        <v>544</v>
      </c>
      <c r="L94" s="4" t="s">
        <v>543</v>
      </c>
      <c r="M94" s="4" t="s">
        <v>62</v>
      </c>
      <c r="N94" s="4" t="s">
        <v>546</v>
      </c>
      <c r="O94" s="4" t="s">
        <v>547</v>
      </c>
      <c r="P94" s="4" t="s">
        <v>546</v>
      </c>
      <c r="Q94" s="4" t="s">
        <v>62</v>
      </c>
    </row>
    <row r="95" spans="1:17" x14ac:dyDescent="0.3">
      <c r="A95" s="7" t="s">
        <v>852</v>
      </c>
      <c r="B95" s="4" t="s">
        <v>853</v>
      </c>
      <c r="C95" s="4" t="s">
        <v>854</v>
      </c>
      <c r="D95" s="4" t="s">
        <v>206</v>
      </c>
      <c r="E95" s="4" t="s">
        <v>158</v>
      </c>
      <c r="F95" s="4" t="s">
        <v>855</v>
      </c>
      <c r="G95" s="4" t="s">
        <v>64</v>
      </c>
      <c r="H95" s="4" t="s">
        <v>457</v>
      </c>
      <c r="I95" s="4" t="s">
        <v>127</v>
      </c>
      <c r="J95" s="4" t="s">
        <v>856</v>
      </c>
      <c r="K95" s="4" t="s">
        <v>857</v>
      </c>
      <c r="L95" s="4" t="s">
        <v>858</v>
      </c>
      <c r="M95" s="4" t="s">
        <v>109</v>
      </c>
      <c r="N95" s="4" t="s">
        <v>859</v>
      </c>
      <c r="O95" s="4" t="s">
        <v>860</v>
      </c>
      <c r="P95" s="4" t="s">
        <v>469</v>
      </c>
      <c r="Q95" s="4" t="s">
        <v>103</v>
      </c>
    </row>
    <row r="96" spans="1:17" x14ac:dyDescent="0.3">
      <c r="A96" s="7" t="s">
        <v>861</v>
      </c>
      <c r="B96" s="4" t="s">
        <v>862</v>
      </c>
      <c r="C96" s="4" t="s">
        <v>863</v>
      </c>
      <c r="D96" s="4" t="s">
        <v>864</v>
      </c>
      <c r="E96" s="4" t="s">
        <v>664</v>
      </c>
      <c r="F96" s="4" t="s">
        <v>865</v>
      </c>
      <c r="G96" s="4" t="s">
        <v>866</v>
      </c>
      <c r="H96" s="4" t="s">
        <v>858</v>
      </c>
      <c r="I96" s="4" t="s">
        <v>100</v>
      </c>
      <c r="J96" s="4" t="s">
        <v>867</v>
      </c>
      <c r="K96" s="4" t="s">
        <v>868</v>
      </c>
      <c r="L96" s="4" t="s">
        <v>869</v>
      </c>
      <c r="M96" s="4" t="s">
        <v>117</v>
      </c>
      <c r="N96" s="4" t="s">
        <v>870</v>
      </c>
      <c r="O96" s="4" t="s">
        <v>871</v>
      </c>
      <c r="P96" s="4" t="s">
        <v>469</v>
      </c>
      <c r="Q96" s="4" t="s">
        <v>103</v>
      </c>
    </row>
    <row r="97" spans="1:17" x14ac:dyDescent="0.3">
      <c r="A97" s="7" t="s">
        <v>872</v>
      </c>
      <c r="B97" s="4" t="s">
        <v>873</v>
      </c>
      <c r="C97" s="4" t="s">
        <v>874</v>
      </c>
      <c r="D97" s="4" t="s">
        <v>519</v>
      </c>
      <c r="E97" s="4" t="s">
        <v>617</v>
      </c>
      <c r="F97" s="4" t="s">
        <v>875</v>
      </c>
      <c r="G97" s="4" t="s">
        <v>876</v>
      </c>
      <c r="H97" s="4" t="s">
        <v>877</v>
      </c>
      <c r="I97" s="4" t="s">
        <v>100</v>
      </c>
      <c r="J97" s="4" t="s">
        <v>878</v>
      </c>
      <c r="K97" s="4" t="s">
        <v>879</v>
      </c>
      <c r="L97" s="4" t="s">
        <v>880</v>
      </c>
      <c r="M97" s="4" t="s">
        <v>185</v>
      </c>
      <c r="N97" s="4" t="s">
        <v>881</v>
      </c>
      <c r="O97" s="4" t="s">
        <v>882</v>
      </c>
      <c r="P97" s="4" t="s">
        <v>331</v>
      </c>
      <c r="Q97" s="4" t="s">
        <v>84</v>
      </c>
    </row>
    <row r="98" spans="1:17" x14ac:dyDescent="0.3">
      <c r="A98" s="7" t="s">
        <v>883</v>
      </c>
      <c r="B98" s="4" t="s">
        <v>884</v>
      </c>
      <c r="C98" s="4" t="s">
        <v>885</v>
      </c>
      <c r="D98" s="4" t="s">
        <v>420</v>
      </c>
      <c r="E98" s="4" t="s">
        <v>664</v>
      </c>
      <c r="F98" s="4" t="s">
        <v>886</v>
      </c>
      <c r="G98" s="4" t="s">
        <v>887</v>
      </c>
      <c r="H98" s="4" t="s">
        <v>294</v>
      </c>
      <c r="I98" s="4" t="s">
        <v>109</v>
      </c>
      <c r="J98" s="4" t="s">
        <v>888</v>
      </c>
      <c r="K98" s="4" t="s">
        <v>889</v>
      </c>
      <c r="L98" s="4" t="s">
        <v>645</v>
      </c>
      <c r="M98" s="4" t="s">
        <v>185</v>
      </c>
      <c r="N98" s="4" t="s">
        <v>890</v>
      </c>
      <c r="O98" s="4" t="s">
        <v>692</v>
      </c>
      <c r="P98" s="4" t="s">
        <v>891</v>
      </c>
      <c r="Q98" s="4" t="s">
        <v>127</v>
      </c>
    </row>
    <row r="99" spans="1:17" x14ac:dyDescent="0.3">
      <c r="A99" s="7" t="s">
        <v>892</v>
      </c>
      <c r="B99" s="4" t="s">
        <v>893</v>
      </c>
      <c r="C99" s="4" t="s">
        <v>894</v>
      </c>
      <c r="D99" s="4" t="s">
        <v>895</v>
      </c>
      <c r="E99" s="4" t="s">
        <v>107</v>
      </c>
      <c r="F99" s="4" t="s">
        <v>896</v>
      </c>
      <c r="G99" s="4" t="s">
        <v>897</v>
      </c>
      <c r="H99" s="4" t="s">
        <v>898</v>
      </c>
      <c r="I99" s="4" t="s">
        <v>185</v>
      </c>
      <c r="J99" s="4" t="s">
        <v>899</v>
      </c>
      <c r="K99" s="4" t="s">
        <v>900</v>
      </c>
      <c r="L99" s="4" t="s">
        <v>901</v>
      </c>
      <c r="M99" s="4" t="s">
        <v>158</v>
      </c>
      <c r="N99" s="4" t="s">
        <v>902</v>
      </c>
      <c r="O99" s="4" t="s">
        <v>903</v>
      </c>
      <c r="P99" s="4" t="s">
        <v>600</v>
      </c>
      <c r="Q99" s="4" t="s">
        <v>77</v>
      </c>
    </row>
    <row r="100" spans="1:17" x14ac:dyDescent="0.3">
      <c r="A100" s="7" t="s">
        <v>904</v>
      </c>
      <c r="B100" s="4" t="s">
        <v>905</v>
      </c>
      <c r="C100" s="4" t="s">
        <v>239</v>
      </c>
      <c r="D100" s="4" t="s">
        <v>906</v>
      </c>
      <c r="E100" s="4" t="s">
        <v>394</v>
      </c>
      <c r="F100" s="4" t="s">
        <v>907</v>
      </c>
      <c r="G100" s="4" t="s">
        <v>908</v>
      </c>
      <c r="H100" s="4" t="s">
        <v>909</v>
      </c>
      <c r="I100" s="4" t="s">
        <v>109</v>
      </c>
      <c r="J100" s="4" t="s">
        <v>910</v>
      </c>
      <c r="K100" s="4" t="s">
        <v>805</v>
      </c>
      <c r="L100" s="4" t="s">
        <v>348</v>
      </c>
      <c r="M100" s="4" t="s">
        <v>77</v>
      </c>
      <c r="N100" s="4" t="s">
        <v>911</v>
      </c>
      <c r="O100" s="4" t="s">
        <v>912</v>
      </c>
      <c r="P100" s="4" t="s">
        <v>913</v>
      </c>
      <c r="Q100" s="4" t="s">
        <v>127</v>
      </c>
    </row>
    <row r="101" spans="1:17" x14ac:dyDescent="0.3">
      <c r="A101" s="7" t="s">
        <v>914</v>
      </c>
      <c r="B101" s="4" t="s">
        <v>915</v>
      </c>
      <c r="C101" s="4" t="s">
        <v>916</v>
      </c>
      <c r="D101" s="4" t="s">
        <v>180</v>
      </c>
      <c r="E101" s="4" t="s">
        <v>73</v>
      </c>
      <c r="F101" s="4" t="s">
        <v>917</v>
      </c>
      <c r="G101" s="4" t="s">
        <v>918</v>
      </c>
      <c r="H101" s="4" t="s">
        <v>344</v>
      </c>
      <c r="I101" s="4" t="s">
        <v>84</v>
      </c>
      <c r="J101" s="4" t="s">
        <v>919</v>
      </c>
      <c r="K101" s="4" t="s">
        <v>805</v>
      </c>
      <c r="L101" s="4" t="s">
        <v>920</v>
      </c>
      <c r="M101" s="4" t="s">
        <v>77</v>
      </c>
      <c r="N101" s="4" t="s">
        <v>921</v>
      </c>
      <c r="O101" s="4" t="s">
        <v>922</v>
      </c>
      <c r="P101" s="4" t="s">
        <v>923</v>
      </c>
      <c r="Q101" s="4" t="s">
        <v>84</v>
      </c>
    </row>
    <row r="102" spans="1:17" x14ac:dyDescent="0.3">
      <c r="A102" s="7" t="s">
        <v>924</v>
      </c>
      <c r="B102" s="4" t="s">
        <v>925</v>
      </c>
      <c r="C102" s="4" t="s">
        <v>926</v>
      </c>
      <c r="D102" s="4" t="s">
        <v>240</v>
      </c>
      <c r="E102" s="4" t="s">
        <v>84</v>
      </c>
      <c r="F102" s="4" t="s">
        <v>927</v>
      </c>
      <c r="G102" s="4" t="s">
        <v>928</v>
      </c>
      <c r="H102" s="4" t="s">
        <v>131</v>
      </c>
      <c r="I102" s="4" t="s">
        <v>103</v>
      </c>
      <c r="J102" s="4" t="s">
        <v>929</v>
      </c>
      <c r="K102" s="4" t="s">
        <v>930</v>
      </c>
      <c r="L102" s="4" t="s">
        <v>210</v>
      </c>
      <c r="M102" s="4" t="s">
        <v>84</v>
      </c>
      <c r="N102" s="4" t="s">
        <v>931</v>
      </c>
      <c r="O102" s="4" t="s">
        <v>932</v>
      </c>
      <c r="P102" s="4" t="s">
        <v>210</v>
      </c>
      <c r="Q102" s="4" t="s">
        <v>153</v>
      </c>
    </row>
    <row r="103" spans="1:17" x14ac:dyDescent="0.3">
      <c r="A103" s="7" t="s">
        <v>933</v>
      </c>
      <c r="B103" s="4" t="s">
        <v>934</v>
      </c>
      <c r="C103" s="4" t="s">
        <v>935</v>
      </c>
      <c r="D103" s="4" t="s">
        <v>62</v>
      </c>
      <c r="E103" s="4" t="s">
        <v>62</v>
      </c>
      <c r="F103" s="4" t="s">
        <v>936</v>
      </c>
      <c r="G103" s="4" t="s">
        <v>937</v>
      </c>
      <c r="H103" s="4" t="s">
        <v>62</v>
      </c>
      <c r="I103" s="4" t="s">
        <v>62</v>
      </c>
      <c r="J103" s="4" t="s">
        <v>938</v>
      </c>
      <c r="K103" s="4" t="s">
        <v>939</v>
      </c>
      <c r="L103" s="4" t="s">
        <v>62</v>
      </c>
      <c r="M103" s="4" t="s">
        <v>62</v>
      </c>
      <c r="N103" s="4" t="s">
        <v>940</v>
      </c>
      <c r="O103" s="4" t="s">
        <v>941</v>
      </c>
      <c r="P103" s="4" t="s">
        <v>62</v>
      </c>
      <c r="Q103" s="4" t="s">
        <v>62</v>
      </c>
    </row>
    <row r="104" spans="1:17" x14ac:dyDescent="0.3">
      <c r="A104" s="4" t="s">
        <v>942</v>
      </c>
    </row>
    <row r="105" spans="1:17" x14ac:dyDescent="0.3">
      <c r="A105" s="6" t="s">
        <v>851</v>
      </c>
      <c r="B105" s="4" t="s">
        <v>537</v>
      </c>
      <c r="C105" s="4" t="s">
        <v>538</v>
      </c>
      <c r="D105" s="4" t="s">
        <v>537</v>
      </c>
      <c r="E105" s="4" t="s">
        <v>62</v>
      </c>
      <c r="F105" s="4" t="s">
        <v>540</v>
      </c>
      <c r="G105" s="4" t="s">
        <v>541</v>
      </c>
      <c r="H105" s="4" t="s">
        <v>540</v>
      </c>
      <c r="I105" s="4" t="s">
        <v>62</v>
      </c>
      <c r="J105" s="4" t="s">
        <v>543</v>
      </c>
      <c r="K105" s="4" t="s">
        <v>544</v>
      </c>
      <c r="L105" s="4" t="s">
        <v>543</v>
      </c>
      <c r="M105" s="4" t="s">
        <v>62</v>
      </c>
      <c r="N105" s="4" t="s">
        <v>546</v>
      </c>
      <c r="O105" s="4" t="s">
        <v>547</v>
      </c>
      <c r="P105" s="4" t="s">
        <v>546</v>
      </c>
      <c r="Q105" s="4" t="s">
        <v>62</v>
      </c>
    </row>
    <row r="106" spans="1:17" x14ac:dyDescent="0.3">
      <c r="A106" s="7" t="s">
        <v>943</v>
      </c>
      <c r="B106" s="4" t="s">
        <v>944</v>
      </c>
      <c r="C106" s="4" t="s">
        <v>589</v>
      </c>
      <c r="D106" s="4" t="s">
        <v>945</v>
      </c>
      <c r="E106" s="4" t="s">
        <v>946</v>
      </c>
      <c r="F106" s="4" t="s">
        <v>947</v>
      </c>
      <c r="G106" s="4" t="s">
        <v>948</v>
      </c>
      <c r="H106" s="4" t="s">
        <v>949</v>
      </c>
      <c r="I106" s="4" t="s">
        <v>73</v>
      </c>
      <c r="J106" s="4" t="s">
        <v>950</v>
      </c>
      <c r="K106" s="4" t="s">
        <v>951</v>
      </c>
      <c r="L106" s="4" t="s">
        <v>952</v>
      </c>
      <c r="M106" s="4" t="s">
        <v>407</v>
      </c>
      <c r="N106" s="4" t="s">
        <v>953</v>
      </c>
      <c r="O106" s="4" t="s">
        <v>954</v>
      </c>
      <c r="P106" s="4" t="s">
        <v>955</v>
      </c>
      <c r="Q106" s="4" t="s">
        <v>77</v>
      </c>
    </row>
    <row r="107" spans="1:17" ht="28.8" x14ac:dyDescent="0.3">
      <c r="A107" s="7" t="s">
        <v>956</v>
      </c>
      <c r="B107" s="4" t="s">
        <v>957</v>
      </c>
      <c r="C107" s="4" t="s">
        <v>958</v>
      </c>
      <c r="D107" s="4" t="s">
        <v>959</v>
      </c>
      <c r="E107" s="4" t="s">
        <v>946</v>
      </c>
      <c r="F107" s="4" t="s">
        <v>960</v>
      </c>
      <c r="G107" s="4" t="s">
        <v>961</v>
      </c>
      <c r="H107" s="4" t="s">
        <v>962</v>
      </c>
      <c r="I107" s="4" t="s">
        <v>73</v>
      </c>
      <c r="J107" s="4" t="s">
        <v>963</v>
      </c>
      <c r="K107" s="4" t="s">
        <v>964</v>
      </c>
      <c r="L107" s="4" t="s">
        <v>510</v>
      </c>
      <c r="M107" s="4" t="s">
        <v>407</v>
      </c>
      <c r="N107" s="4" t="s">
        <v>965</v>
      </c>
      <c r="O107" s="4" t="s">
        <v>966</v>
      </c>
      <c r="P107" s="4" t="s">
        <v>967</v>
      </c>
      <c r="Q107" s="4" t="s">
        <v>77</v>
      </c>
    </row>
    <row r="108" spans="1:17" ht="28.8" x14ac:dyDescent="0.3">
      <c r="A108" s="4" t="s">
        <v>968</v>
      </c>
    </row>
    <row r="109" spans="1:17" x14ac:dyDescent="0.3">
      <c r="A109" s="6" t="s">
        <v>943</v>
      </c>
      <c r="B109" s="4" t="s">
        <v>944</v>
      </c>
      <c r="C109" s="4" t="s">
        <v>589</v>
      </c>
      <c r="D109" s="4" t="s">
        <v>944</v>
      </c>
      <c r="E109" s="4" t="s">
        <v>62</v>
      </c>
      <c r="F109" s="4" t="s">
        <v>947</v>
      </c>
      <c r="G109" s="4" t="s">
        <v>948</v>
      </c>
      <c r="H109" s="4" t="s">
        <v>947</v>
      </c>
      <c r="I109" s="4" t="s">
        <v>62</v>
      </c>
      <c r="J109" s="4" t="s">
        <v>950</v>
      </c>
      <c r="K109" s="4" t="s">
        <v>951</v>
      </c>
      <c r="L109" s="4" t="s">
        <v>950</v>
      </c>
      <c r="M109" s="4" t="s">
        <v>62</v>
      </c>
      <c r="N109" s="4" t="s">
        <v>953</v>
      </c>
      <c r="O109" s="4" t="s">
        <v>954</v>
      </c>
      <c r="P109" s="4" t="s">
        <v>953</v>
      </c>
      <c r="Q109" s="4" t="s">
        <v>62</v>
      </c>
    </row>
    <row r="110" spans="1:17" x14ac:dyDescent="0.3">
      <c r="A110" s="7" t="s">
        <v>969</v>
      </c>
      <c r="B110" s="4" t="s">
        <v>970</v>
      </c>
      <c r="C110" s="4" t="s">
        <v>971</v>
      </c>
      <c r="D110" s="4" t="s">
        <v>811</v>
      </c>
      <c r="E110" s="4" t="s">
        <v>100</v>
      </c>
      <c r="F110" s="4" t="s">
        <v>972</v>
      </c>
      <c r="G110" s="4" t="s">
        <v>973</v>
      </c>
      <c r="H110" s="4" t="s">
        <v>210</v>
      </c>
      <c r="I110" s="4" t="s">
        <v>84</v>
      </c>
      <c r="J110" s="4" t="s">
        <v>974</v>
      </c>
      <c r="K110" s="4" t="s">
        <v>975</v>
      </c>
      <c r="L110" s="4" t="s">
        <v>363</v>
      </c>
      <c r="M110" s="4" t="s">
        <v>127</v>
      </c>
      <c r="N110" s="4" t="s">
        <v>976</v>
      </c>
      <c r="O110" s="4" t="s">
        <v>977</v>
      </c>
      <c r="P110" s="4" t="s">
        <v>803</v>
      </c>
      <c r="Q110" s="4" t="s">
        <v>153</v>
      </c>
    </row>
    <row r="111" spans="1:17" x14ac:dyDescent="0.3">
      <c r="A111" s="7" t="s">
        <v>978</v>
      </c>
      <c r="B111" s="4" t="s">
        <v>979</v>
      </c>
      <c r="C111" s="4" t="s">
        <v>980</v>
      </c>
      <c r="D111" s="4" t="s">
        <v>981</v>
      </c>
      <c r="E111" s="4" t="s">
        <v>982</v>
      </c>
      <c r="F111" s="4" t="s">
        <v>983</v>
      </c>
      <c r="G111" s="4" t="s">
        <v>160</v>
      </c>
      <c r="H111" s="4" t="s">
        <v>984</v>
      </c>
      <c r="I111" s="4" t="s">
        <v>117</v>
      </c>
      <c r="J111" s="4" t="s">
        <v>985</v>
      </c>
      <c r="K111" s="4" t="s">
        <v>986</v>
      </c>
      <c r="L111" s="4" t="s">
        <v>987</v>
      </c>
      <c r="M111" s="4" t="s">
        <v>664</v>
      </c>
      <c r="N111" s="4" t="s">
        <v>988</v>
      </c>
      <c r="O111" s="4" t="s">
        <v>989</v>
      </c>
      <c r="P111" s="4" t="s">
        <v>990</v>
      </c>
      <c r="Q111" s="4" t="s">
        <v>127</v>
      </c>
    </row>
    <row r="112" spans="1:17" x14ac:dyDescent="0.3">
      <c r="A112" s="7" t="s">
        <v>991</v>
      </c>
      <c r="B112" s="4" t="s">
        <v>992</v>
      </c>
      <c r="C112" s="4" t="s">
        <v>993</v>
      </c>
      <c r="D112" s="4" t="s">
        <v>600</v>
      </c>
      <c r="E112" s="4" t="s">
        <v>982</v>
      </c>
      <c r="F112" s="4" t="s">
        <v>994</v>
      </c>
      <c r="G112" s="4" t="s">
        <v>995</v>
      </c>
      <c r="H112" s="4" t="s">
        <v>996</v>
      </c>
      <c r="I112" s="4" t="s">
        <v>617</v>
      </c>
      <c r="J112" s="4" t="s">
        <v>997</v>
      </c>
      <c r="K112" s="4" t="s">
        <v>998</v>
      </c>
      <c r="L112" s="4" t="s">
        <v>999</v>
      </c>
      <c r="M112" s="4" t="s">
        <v>591</v>
      </c>
      <c r="N112" s="4" t="s">
        <v>1000</v>
      </c>
      <c r="O112" s="4" t="s">
        <v>1001</v>
      </c>
      <c r="P112" s="4" t="s">
        <v>1002</v>
      </c>
      <c r="Q112" s="4" t="s">
        <v>109</v>
      </c>
    </row>
    <row r="113" spans="1:17" x14ac:dyDescent="0.3">
      <c r="A113" s="7" t="s">
        <v>1003</v>
      </c>
      <c r="B113" s="4" t="s">
        <v>1004</v>
      </c>
      <c r="C113" s="4" t="s">
        <v>1005</v>
      </c>
      <c r="D113" s="4" t="s">
        <v>416</v>
      </c>
      <c r="E113" s="4" t="s">
        <v>664</v>
      </c>
      <c r="F113" s="4" t="s">
        <v>1006</v>
      </c>
      <c r="G113" s="4" t="s">
        <v>1007</v>
      </c>
      <c r="H113" s="4" t="s">
        <v>1008</v>
      </c>
      <c r="I113" s="4" t="s">
        <v>617</v>
      </c>
      <c r="J113" s="4" t="s">
        <v>1009</v>
      </c>
      <c r="K113" s="4" t="s">
        <v>1010</v>
      </c>
      <c r="L113" s="4" t="s">
        <v>275</v>
      </c>
      <c r="M113" s="4" t="s">
        <v>73</v>
      </c>
      <c r="N113" s="4" t="s">
        <v>1011</v>
      </c>
      <c r="O113" s="4" t="s">
        <v>1012</v>
      </c>
      <c r="P113" s="4" t="s">
        <v>1013</v>
      </c>
      <c r="Q113" s="4" t="s">
        <v>109</v>
      </c>
    </row>
    <row r="114" spans="1:17" x14ac:dyDescent="0.3">
      <c r="A114" s="7" t="s">
        <v>1014</v>
      </c>
      <c r="B114" s="4" t="s">
        <v>1015</v>
      </c>
      <c r="C114" s="4" t="s">
        <v>1016</v>
      </c>
      <c r="D114" s="4" t="s">
        <v>1017</v>
      </c>
      <c r="E114" s="4" t="s">
        <v>107</v>
      </c>
      <c r="F114" s="4" t="s">
        <v>1018</v>
      </c>
      <c r="G114" s="4" t="s">
        <v>1019</v>
      </c>
      <c r="H114" s="4" t="s">
        <v>313</v>
      </c>
      <c r="I114" s="4" t="s">
        <v>158</v>
      </c>
      <c r="J114" s="4" t="s">
        <v>1020</v>
      </c>
      <c r="K114" s="4" t="s">
        <v>1021</v>
      </c>
      <c r="L114" s="4" t="s">
        <v>1022</v>
      </c>
      <c r="M114" s="4" t="s">
        <v>117</v>
      </c>
      <c r="N114" s="4" t="s">
        <v>1023</v>
      </c>
      <c r="O114" s="4" t="s">
        <v>1024</v>
      </c>
      <c r="P114" s="4" t="s">
        <v>1025</v>
      </c>
      <c r="Q114" s="4" t="s">
        <v>100</v>
      </c>
    </row>
    <row r="115" spans="1:17" x14ac:dyDescent="0.3">
      <c r="A115" s="7" t="s">
        <v>1026</v>
      </c>
      <c r="B115" s="4" t="s">
        <v>1027</v>
      </c>
      <c r="C115" s="4" t="s">
        <v>1028</v>
      </c>
      <c r="D115" s="4" t="s">
        <v>1029</v>
      </c>
      <c r="E115" s="4" t="s">
        <v>73</v>
      </c>
      <c r="F115" s="4" t="s">
        <v>1030</v>
      </c>
      <c r="G115" s="4" t="s">
        <v>1031</v>
      </c>
      <c r="H115" s="4" t="s">
        <v>213</v>
      </c>
      <c r="I115" s="4" t="s">
        <v>77</v>
      </c>
      <c r="J115" s="4" t="s">
        <v>1032</v>
      </c>
      <c r="K115" s="4" t="s">
        <v>1033</v>
      </c>
      <c r="L115" s="4" t="s">
        <v>1034</v>
      </c>
      <c r="M115" s="4" t="s">
        <v>77</v>
      </c>
      <c r="N115" s="4" t="s">
        <v>1035</v>
      </c>
      <c r="O115" s="4" t="s">
        <v>1036</v>
      </c>
      <c r="P115" s="4" t="s">
        <v>1037</v>
      </c>
      <c r="Q115" s="4" t="s">
        <v>127</v>
      </c>
    </row>
    <row r="116" spans="1:17" x14ac:dyDescent="0.3">
      <c r="A116" s="7" t="s">
        <v>1038</v>
      </c>
      <c r="B116" s="4" t="s">
        <v>1039</v>
      </c>
      <c r="C116" s="4" t="s">
        <v>1040</v>
      </c>
      <c r="D116" s="4" t="s">
        <v>1041</v>
      </c>
      <c r="E116" s="4" t="s">
        <v>394</v>
      </c>
      <c r="F116" s="4" t="s">
        <v>1042</v>
      </c>
      <c r="G116" s="4" t="s">
        <v>1043</v>
      </c>
      <c r="H116" s="4" t="s">
        <v>338</v>
      </c>
      <c r="I116" s="4" t="s">
        <v>77</v>
      </c>
      <c r="J116" s="4" t="s">
        <v>1044</v>
      </c>
      <c r="K116" s="4" t="s">
        <v>916</v>
      </c>
      <c r="L116" s="4" t="s">
        <v>137</v>
      </c>
      <c r="M116" s="4" t="s">
        <v>100</v>
      </c>
      <c r="N116" s="4" t="s">
        <v>1045</v>
      </c>
      <c r="O116" s="4" t="s">
        <v>1046</v>
      </c>
      <c r="P116" s="4" t="s">
        <v>171</v>
      </c>
      <c r="Q116" s="4" t="s">
        <v>127</v>
      </c>
    </row>
    <row r="117" spans="1:17" x14ac:dyDescent="0.3">
      <c r="A117" s="7" t="s">
        <v>933</v>
      </c>
      <c r="B117" s="4" t="s">
        <v>1047</v>
      </c>
      <c r="C117" s="4" t="s">
        <v>1048</v>
      </c>
      <c r="D117" s="4" t="s">
        <v>62</v>
      </c>
      <c r="E117" s="4" t="s">
        <v>62</v>
      </c>
      <c r="F117" s="4" t="s">
        <v>1049</v>
      </c>
      <c r="G117" s="4" t="s">
        <v>1050</v>
      </c>
      <c r="H117" s="4" t="s">
        <v>62</v>
      </c>
      <c r="I117" s="4" t="s">
        <v>62</v>
      </c>
      <c r="J117" s="4" t="s">
        <v>1051</v>
      </c>
      <c r="K117" s="4" t="s">
        <v>1052</v>
      </c>
      <c r="L117" s="4" t="s">
        <v>62</v>
      </c>
      <c r="M117" s="4" t="s">
        <v>62</v>
      </c>
      <c r="N117" s="4" t="s">
        <v>1053</v>
      </c>
      <c r="O117" s="4" t="s">
        <v>1054</v>
      </c>
      <c r="P117" s="4" t="s">
        <v>62</v>
      </c>
      <c r="Q117" s="4" t="s">
        <v>62</v>
      </c>
    </row>
    <row r="118" spans="1:17" x14ac:dyDescent="0.3">
      <c r="A118" s="6" t="s">
        <v>956</v>
      </c>
      <c r="B118" s="4" t="s">
        <v>957</v>
      </c>
      <c r="C118" s="4" t="s">
        <v>958</v>
      </c>
      <c r="D118" s="4" t="s">
        <v>957</v>
      </c>
      <c r="E118" s="4" t="s">
        <v>62</v>
      </c>
      <c r="F118" s="4" t="s">
        <v>960</v>
      </c>
      <c r="G118" s="4" t="s">
        <v>961</v>
      </c>
      <c r="H118" s="4" t="s">
        <v>960</v>
      </c>
      <c r="I118" s="4" t="s">
        <v>62</v>
      </c>
      <c r="J118" s="4" t="s">
        <v>963</v>
      </c>
      <c r="K118" s="4" t="s">
        <v>964</v>
      </c>
      <c r="L118" s="4" t="s">
        <v>963</v>
      </c>
      <c r="M118" s="4" t="s">
        <v>62</v>
      </c>
      <c r="N118" s="4" t="s">
        <v>965</v>
      </c>
      <c r="O118" s="4" t="s">
        <v>966</v>
      </c>
      <c r="P118" s="4" t="s">
        <v>965</v>
      </c>
      <c r="Q118" s="4" t="s">
        <v>62</v>
      </c>
    </row>
    <row r="119" spans="1:17" x14ac:dyDescent="0.3">
      <c r="A119" s="7" t="s">
        <v>1055</v>
      </c>
      <c r="B119" s="4" t="s">
        <v>1056</v>
      </c>
      <c r="C119" s="4" t="s">
        <v>1057</v>
      </c>
      <c r="D119" s="4" t="s">
        <v>200</v>
      </c>
      <c r="E119" s="4" t="s">
        <v>1058</v>
      </c>
      <c r="F119" s="4" t="s">
        <v>1059</v>
      </c>
      <c r="G119" s="4" t="s">
        <v>1060</v>
      </c>
      <c r="H119" s="4" t="s">
        <v>1061</v>
      </c>
      <c r="I119" s="4" t="s">
        <v>407</v>
      </c>
      <c r="J119" s="4" t="s">
        <v>1062</v>
      </c>
      <c r="K119" s="4" t="s">
        <v>1063</v>
      </c>
      <c r="L119" s="4" t="s">
        <v>301</v>
      </c>
      <c r="M119" s="4" t="s">
        <v>394</v>
      </c>
      <c r="N119" s="4" t="s">
        <v>1064</v>
      </c>
      <c r="O119" s="4" t="s">
        <v>1065</v>
      </c>
      <c r="P119" s="4" t="s">
        <v>206</v>
      </c>
      <c r="Q119" s="4" t="s">
        <v>77</v>
      </c>
    </row>
    <row r="120" spans="1:17" x14ac:dyDescent="0.3">
      <c r="A120" s="7" t="s">
        <v>1066</v>
      </c>
      <c r="B120" s="4" t="s">
        <v>1067</v>
      </c>
      <c r="C120" s="4" t="s">
        <v>1068</v>
      </c>
      <c r="D120" s="4" t="s">
        <v>1069</v>
      </c>
      <c r="E120" s="4" t="s">
        <v>1070</v>
      </c>
      <c r="F120" s="4" t="s">
        <v>1071</v>
      </c>
      <c r="G120" s="4" t="s">
        <v>1072</v>
      </c>
      <c r="H120" s="4" t="s">
        <v>1073</v>
      </c>
      <c r="I120" s="4" t="s">
        <v>1074</v>
      </c>
      <c r="J120" s="4" t="s">
        <v>1075</v>
      </c>
      <c r="K120" s="4" t="s">
        <v>1076</v>
      </c>
      <c r="L120" s="4" t="s">
        <v>1077</v>
      </c>
      <c r="M120" s="4" t="s">
        <v>1074</v>
      </c>
      <c r="N120" s="4" t="s">
        <v>1078</v>
      </c>
      <c r="O120" s="4" t="s">
        <v>1079</v>
      </c>
      <c r="P120" s="4" t="s">
        <v>1025</v>
      </c>
      <c r="Q120" s="4" t="s">
        <v>185</v>
      </c>
    </row>
    <row r="121" spans="1:17" x14ac:dyDescent="0.3">
      <c r="A121" s="7" t="s">
        <v>1080</v>
      </c>
      <c r="B121" s="4" t="s">
        <v>1081</v>
      </c>
      <c r="C121" s="4" t="s">
        <v>1082</v>
      </c>
      <c r="D121" s="4" t="s">
        <v>597</v>
      </c>
      <c r="E121" s="4" t="s">
        <v>1083</v>
      </c>
      <c r="F121" s="4" t="s">
        <v>1084</v>
      </c>
      <c r="G121" s="4" t="s">
        <v>1085</v>
      </c>
      <c r="H121" s="4" t="s">
        <v>1086</v>
      </c>
      <c r="I121" s="4" t="s">
        <v>107</v>
      </c>
      <c r="J121" s="4" t="s">
        <v>1087</v>
      </c>
      <c r="K121" s="4" t="s">
        <v>1088</v>
      </c>
      <c r="L121" s="4" t="s">
        <v>1089</v>
      </c>
      <c r="M121" s="4" t="s">
        <v>591</v>
      </c>
      <c r="N121" s="4" t="s">
        <v>1090</v>
      </c>
      <c r="O121" s="4" t="s">
        <v>1091</v>
      </c>
      <c r="P121" s="4" t="s">
        <v>1092</v>
      </c>
      <c r="Q121" s="4" t="s">
        <v>185</v>
      </c>
    </row>
    <row r="122" spans="1:17" x14ac:dyDescent="0.3">
      <c r="A122" s="7" t="s">
        <v>1093</v>
      </c>
      <c r="B122" s="4" t="s">
        <v>1094</v>
      </c>
      <c r="C122" s="4" t="s">
        <v>1095</v>
      </c>
      <c r="D122" s="4" t="s">
        <v>877</v>
      </c>
      <c r="E122" s="4" t="s">
        <v>946</v>
      </c>
      <c r="F122" s="4" t="s">
        <v>1096</v>
      </c>
      <c r="G122" s="4" t="s">
        <v>1097</v>
      </c>
      <c r="H122" s="4" t="s">
        <v>307</v>
      </c>
      <c r="I122" s="4" t="s">
        <v>407</v>
      </c>
      <c r="J122" s="4" t="s">
        <v>1098</v>
      </c>
      <c r="K122" s="4" t="s">
        <v>1099</v>
      </c>
      <c r="L122" s="4" t="s">
        <v>285</v>
      </c>
      <c r="M122" s="4" t="s">
        <v>117</v>
      </c>
      <c r="N122" s="4" t="s">
        <v>1100</v>
      </c>
      <c r="O122" s="4" t="s">
        <v>1101</v>
      </c>
      <c r="P122" s="4" t="s">
        <v>1102</v>
      </c>
      <c r="Q122" s="4" t="s">
        <v>117</v>
      </c>
    </row>
    <row r="123" spans="1:17" x14ac:dyDescent="0.3">
      <c r="A123" s="7" t="s">
        <v>1103</v>
      </c>
      <c r="B123" s="4" t="s">
        <v>1104</v>
      </c>
      <c r="C123" s="4" t="s">
        <v>1105</v>
      </c>
      <c r="D123" s="4" t="s">
        <v>188</v>
      </c>
      <c r="E123" s="4" t="s">
        <v>1074</v>
      </c>
      <c r="F123" s="4" t="s">
        <v>1106</v>
      </c>
      <c r="G123" s="4" t="s">
        <v>1107</v>
      </c>
      <c r="H123" s="4" t="s">
        <v>1108</v>
      </c>
      <c r="I123" s="4" t="s">
        <v>109</v>
      </c>
      <c r="J123" s="4" t="s">
        <v>1109</v>
      </c>
      <c r="K123" s="4" t="s">
        <v>1110</v>
      </c>
      <c r="L123" s="4" t="s">
        <v>137</v>
      </c>
      <c r="M123" s="4" t="s">
        <v>109</v>
      </c>
      <c r="N123" s="4" t="s">
        <v>1111</v>
      </c>
      <c r="O123" s="4" t="s">
        <v>1112</v>
      </c>
      <c r="P123" s="4" t="s">
        <v>629</v>
      </c>
      <c r="Q123" s="4" t="s">
        <v>109</v>
      </c>
    </row>
    <row r="124" spans="1:17" x14ac:dyDescent="0.3">
      <c r="A124" s="7" t="s">
        <v>1113</v>
      </c>
      <c r="B124" s="4" t="s">
        <v>1114</v>
      </c>
      <c r="C124" s="4" t="s">
        <v>1115</v>
      </c>
      <c r="D124" s="4" t="s">
        <v>1041</v>
      </c>
      <c r="E124" s="4" t="s">
        <v>107</v>
      </c>
      <c r="F124" s="4" t="s">
        <v>1116</v>
      </c>
      <c r="G124" s="4" t="s">
        <v>1117</v>
      </c>
      <c r="H124" s="4" t="s">
        <v>442</v>
      </c>
      <c r="I124" s="4" t="s">
        <v>185</v>
      </c>
      <c r="J124" s="4" t="s">
        <v>1118</v>
      </c>
      <c r="K124" s="4" t="s">
        <v>1119</v>
      </c>
      <c r="L124" s="4" t="s">
        <v>640</v>
      </c>
      <c r="M124" s="4" t="s">
        <v>117</v>
      </c>
      <c r="N124" s="4" t="s">
        <v>1120</v>
      </c>
      <c r="O124" s="4" t="s">
        <v>1121</v>
      </c>
      <c r="P124" s="4" t="s">
        <v>171</v>
      </c>
      <c r="Q124" s="4" t="s">
        <v>77</v>
      </c>
    </row>
    <row r="125" spans="1:17" x14ac:dyDescent="0.3">
      <c r="A125" s="7" t="s">
        <v>933</v>
      </c>
      <c r="B125" s="4" t="s">
        <v>1122</v>
      </c>
      <c r="C125" s="4" t="s">
        <v>1123</v>
      </c>
      <c r="D125" s="4" t="s">
        <v>62</v>
      </c>
      <c r="E125" s="4" t="s">
        <v>62</v>
      </c>
      <c r="F125" s="4" t="s">
        <v>1124</v>
      </c>
      <c r="G125" s="4" t="s">
        <v>1125</v>
      </c>
      <c r="H125" s="4" t="s">
        <v>62</v>
      </c>
      <c r="I125" s="4" t="s">
        <v>62</v>
      </c>
      <c r="J125" s="4" t="s">
        <v>1126</v>
      </c>
      <c r="K125" s="4" t="s">
        <v>1127</v>
      </c>
      <c r="L125" s="4" t="s">
        <v>62</v>
      </c>
      <c r="M125" s="4" t="s">
        <v>62</v>
      </c>
      <c r="N125" s="4" t="s">
        <v>1128</v>
      </c>
      <c r="O125" s="4" t="s">
        <v>1129</v>
      </c>
      <c r="P125" s="4" t="s">
        <v>62</v>
      </c>
      <c r="Q125" s="4" t="s">
        <v>62</v>
      </c>
    </row>
    <row r="126" spans="1:17" ht="43.2" x14ac:dyDescent="0.3">
      <c r="A126" s="4" t="s">
        <v>1130</v>
      </c>
    </row>
    <row r="127" spans="1:17" ht="43.2" x14ac:dyDescent="0.3">
      <c r="A127" s="6" t="s">
        <v>1131</v>
      </c>
      <c r="B127" s="4" t="s">
        <v>1132</v>
      </c>
      <c r="C127" s="4" t="s">
        <v>1133</v>
      </c>
      <c r="D127" s="4" t="s">
        <v>1132</v>
      </c>
      <c r="E127" s="4" t="s">
        <v>62</v>
      </c>
      <c r="F127" s="4" t="s">
        <v>1134</v>
      </c>
      <c r="G127" s="4" t="s">
        <v>1135</v>
      </c>
      <c r="H127" s="4" t="s">
        <v>1134</v>
      </c>
      <c r="I127" s="4" t="s">
        <v>62</v>
      </c>
      <c r="J127" s="4" t="s">
        <v>1136</v>
      </c>
      <c r="K127" s="4" t="s">
        <v>1137</v>
      </c>
      <c r="L127" s="4" t="s">
        <v>1136</v>
      </c>
      <c r="M127" s="4" t="s">
        <v>62</v>
      </c>
      <c r="N127" s="4" t="s">
        <v>1138</v>
      </c>
      <c r="O127" s="4" t="s">
        <v>1139</v>
      </c>
      <c r="P127" s="4" t="s">
        <v>1138</v>
      </c>
      <c r="Q127" s="4" t="s">
        <v>62</v>
      </c>
    </row>
    <row r="128" spans="1:17" x14ac:dyDescent="0.3">
      <c r="A128" s="7" t="s">
        <v>1140</v>
      </c>
      <c r="B128" s="4" t="s">
        <v>1141</v>
      </c>
      <c r="C128" s="4" t="s">
        <v>1142</v>
      </c>
      <c r="D128" s="4" t="s">
        <v>1143</v>
      </c>
      <c r="E128" s="4" t="s">
        <v>1144</v>
      </c>
      <c r="F128" s="4" t="s">
        <v>1145</v>
      </c>
      <c r="G128" s="4" t="s">
        <v>1146</v>
      </c>
      <c r="H128" s="4" t="s">
        <v>1147</v>
      </c>
      <c r="I128" s="4" t="s">
        <v>407</v>
      </c>
      <c r="J128" s="4" t="s">
        <v>1148</v>
      </c>
      <c r="K128" s="4" t="s">
        <v>490</v>
      </c>
      <c r="L128" s="4" t="s">
        <v>1149</v>
      </c>
      <c r="M128" s="4" t="s">
        <v>664</v>
      </c>
      <c r="N128" s="4" t="s">
        <v>1150</v>
      </c>
      <c r="O128" s="4" t="s">
        <v>506</v>
      </c>
      <c r="P128" s="4" t="s">
        <v>1151</v>
      </c>
      <c r="Q128" s="4" t="s">
        <v>158</v>
      </c>
    </row>
    <row r="129" spans="1:17" x14ac:dyDescent="0.3">
      <c r="A129" s="7" t="s">
        <v>1152</v>
      </c>
      <c r="B129" s="4" t="s">
        <v>1153</v>
      </c>
      <c r="C129" s="4" t="s">
        <v>1154</v>
      </c>
      <c r="D129" s="4" t="s">
        <v>307</v>
      </c>
      <c r="E129" s="4" t="s">
        <v>664</v>
      </c>
      <c r="F129" s="4" t="s">
        <v>1155</v>
      </c>
      <c r="G129" s="4" t="s">
        <v>1156</v>
      </c>
      <c r="H129" s="4" t="s">
        <v>288</v>
      </c>
      <c r="I129" s="4" t="s">
        <v>73</v>
      </c>
      <c r="J129" s="4" t="s">
        <v>1157</v>
      </c>
      <c r="K129" s="4" t="s">
        <v>1158</v>
      </c>
      <c r="L129" s="4" t="s">
        <v>1159</v>
      </c>
      <c r="M129" s="4" t="s">
        <v>394</v>
      </c>
      <c r="N129" s="4" t="s">
        <v>1160</v>
      </c>
      <c r="O129" s="4" t="s">
        <v>1161</v>
      </c>
      <c r="P129" s="4" t="s">
        <v>420</v>
      </c>
      <c r="Q129" s="4" t="s">
        <v>77</v>
      </c>
    </row>
    <row r="130" spans="1:17" x14ac:dyDescent="0.3">
      <c r="A130" s="7" t="s">
        <v>1162</v>
      </c>
      <c r="B130" s="4" t="s">
        <v>1163</v>
      </c>
      <c r="C130" s="4" t="s">
        <v>1164</v>
      </c>
      <c r="D130" s="4" t="s">
        <v>171</v>
      </c>
      <c r="E130" s="4" t="s">
        <v>407</v>
      </c>
      <c r="F130" s="4" t="s">
        <v>1165</v>
      </c>
      <c r="G130" s="4" t="s">
        <v>1166</v>
      </c>
      <c r="H130" s="4" t="s">
        <v>430</v>
      </c>
      <c r="I130" s="4" t="s">
        <v>185</v>
      </c>
      <c r="J130" s="4" t="s">
        <v>1167</v>
      </c>
      <c r="K130" s="4" t="s">
        <v>1168</v>
      </c>
      <c r="L130" s="4" t="s">
        <v>629</v>
      </c>
      <c r="M130" s="4" t="s">
        <v>185</v>
      </c>
      <c r="N130" s="4" t="s">
        <v>1169</v>
      </c>
      <c r="O130" s="4" t="s">
        <v>1170</v>
      </c>
      <c r="P130" s="4" t="s">
        <v>645</v>
      </c>
      <c r="Q130" s="4" t="s">
        <v>77</v>
      </c>
    </row>
    <row r="131" spans="1:17" x14ac:dyDescent="0.3">
      <c r="A131" s="7" t="s">
        <v>1171</v>
      </c>
      <c r="B131" s="4" t="s">
        <v>1172</v>
      </c>
      <c r="C131" s="4" t="s">
        <v>1173</v>
      </c>
      <c r="D131" s="4" t="s">
        <v>335</v>
      </c>
      <c r="E131" s="4" t="s">
        <v>117</v>
      </c>
      <c r="F131" s="4" t="s">
        <v>1174</v>
      </c>
      <c r="G131" s="4" t="s">
        <v>1175</v>
      </c>
      <c r="H131" s="4" t="s">
        <v>164</v>
      </c>
      <c r="I131" s="4" t="s">
        <v>109</v>
      </c>
      <c r="J131" s="4" t="s">
        <v>1176</v>
      </c>
      <c r="K131" s="4" t="s">
        <v>1177</v>
      </c>
      <c r="L131" s="4" t="s">
        <v>191</v>
      </c>
      <c r="M131" s="4" t="s">
        <v>185</v>
      </c>
      <c r="N131" s="4" t="s">
        <v>1178</v>
      </c>
      <c r="O131" s="4" t="s">
        <v>1179</v>
      </c>
      <c r="P131" s="4" t="s">
        <v>1041</v>
      </c>
      <c r="Q131" s="4" t="s">
        <v>127</v>
      </c>
    </row>
    <row r="132" spans="1:17" x14ac:dyDescent="0.3">
      <c r="A132" s="7" t="s">
        <v>1180</v>
      </c>
      <c r="B132" s="4" t="s">
        <v>1181</v>
      </c>
      <c r="C132" s="4" t="s">
        <v>1031</v>
      </c>
      <c r="D132" s="4" t="s">
        <v>298</v>
      </c>
      <c r="E132" s="4" t="s">
        <v>946</v>
      </c>
      <c r="F132" s="4" t="s">
        <v>1182</v>
      </c>
      <c r="G132" s="4" t="s">
        <v>1183</v>
      </c>
      <c r="H132" s="4" t="s">
        <v>1184</v>
      </c>
      <c r="I132" s="4" t="s">
        <v>617</v>
      </c>
      <c r="J132" s="4" t="s">
        <v>1185</v>
      </c>
      <c r="K132" s="4" t="s">
        <v>1186</v>
      </c>
      <c r="L132" s="4" t="s">
        <v>1187</v>
      </c>
      <c r="M132" s="4" t="s">
        <v>394</v>
      </c>
      <c r="N132" s="4" t="s">
        <v>1188</v>
      </c>
      <c r="O132" s="4" t="s">
        <v>1189</v>
      </c>
      <c r="P132" s="4" t="s">
        <v>1190</v>
      </c>
      <c r="Q132" s="4" t="s">
        <v>100</v>
      </c>
    </row>
    <row r="133" spans="1:17" x14ac:dyDescent="0.3">
      <c r="A133" s="7" t="s">
        <v>1191</v>
      </c>
      <c r="B133" s="4" t="s">
        <v>1192</v>
      </c>
      <c r="C133" s="4" t="s">
        <v>1193</v>
      </c>
      <c r="D133" s="4" t="s">
        <v>62</v>
      </c>
      <c r="E133" s="4" t="s">
        <v>62</v>
      </c>
      <c r="F133" s="4" t="s">
        <v>1194</v>
      </c>
      <c r="G133" s="4" t="s">
        <v>1195</v>
      </c>
      <c r="H133" s="4" t="s">
        <v>62</v>
      </c>
      <c r="I133" s="4" t="s">
        <v>62</v>
      </c>
      <c r="J133" s="4" t="s">
        <v>1196</v>
      </c>
      <c r="K133" s="4" t="s">
        <v>1197</v>
      </c>
      <c r="L133" s="4" t="s">
        <v>62</v>
      </c>
      <c r="M133" s="4" t="s">
        <v>62</v>
      </c>
      <c r="N133" s="4" t="s">
        <v>1198</v>
      </c>
      <c r="O133" s="4" t="s">
        <v>1199</v>
      </c>
      <c r="P133" s="4" t="s">
        <v>62</v>
      </c>
      <c r="Q133" s="4" t="s">
        <v>62</v>
      </c>
    </row>
    <row r="134" spans="1:17" ht="43.2" x14ac:dyDescent="0.3">
      <c r="A134" s="6" t="s">
        <v>1200</v>
      </c>
      <c r="B134" s="4" t="s">
        <v>1201</v>
      </c>
      <c r="C134" s="4" t="s">
        <v>1202</v>
      </c>
      <c r="D134" s="4" t="s">
        <v>1201</v>
      </c>
      <c r="E134" s="4" t="s">
        <v>62</v>
      </c>
      <c r="F134" s="4" t="s">
        <v>1203</v>
      </c>
      <c r="G134" s="4" t="s">
        <v>1204</v>
      </c>
      <c r="H134" s="4" t="s">
        <v>1203</v>
      </c>
      <c r="I134" s="4" t="s">
        <v>62</v>
      </c>
      <c r="J134" s="4" t="s">
        <v>1205</v>
      </c>
      <c r="K134" s="4" t="s">
        <v>868</v>
      </c>
      <c r="L134" s="4" t="s">
        <v>1205</v>
      </c>
      <c r="M134" s="4" t="s">
        <v>62</v>
      </c>
      <c r="N134" s="4" t="s">
        <v>1206</v>
      </c>
      <c r="O134" s="4" t="s">
        <v>1207</v>
      </c>
      <c r="P134" s="4" t="s">
        <v>1206</v>
      </c>
      <c r="Q134" s="4" t="s">
        <v>62</v>
      </c>
    </row>
    <row r="135" spans="1:17" x14ac:dyDescent="0.3">
      <c r="A135" s="7" t="s">
        <v>1208</v>
      </c>
      <c r="B135" s="4" t="s">
        <v>1209</v>
      </c>
      <c r="C135" s="4" t="s">
        <v>1210</v>
      </c>
      <c r="D135" s="4" t="s">
        <v>1211</v>
      </c>
      <c r="E135" s="4" t="s">
        <v>1070</v>
      </c>
      <c r="F135" s="4" t="s">
        <v>1212</v>
      </c>
      <c r="G135" s="4" t="s">
        <v>1213</v>
      </c>
      <c r="H135" s="4" t="s">
        <v>1214</v>
      </c>
      <c r="I135" s="4" t="s">
        <v>591</v>
      </c>
      <c r="J135" s="4" t="s">
        <v>1215</v>
      </c>
      <c r="K135" s="4" t="s">
        <v>1216</v>
      </c>
      <c r="L135" s="4" t="s">
        <v>1217</v>
      </c>
      <c r="M135" s="4" t="s">
        <v>591</v>
      </c>
      <c r="N135" s="4" t="s">
        <v>1218</v>
      </c>
      <c r="O135" s="4" t="s">
        <v>1219</v>
      </c>
      <c r="P135" s="4" t="s">
        <v>1220</v>
      </c>
      <c r="Q135" s="4" t="s">
        <v>117</v>
      </c>
    </row>
    <row r="136" spans="1:17" x14ac:dyDescent="0.3">
      <c r="A136" s="7" t="s">
        <v>1221</v>
      </c>
      <c r="B136" s="4" t="s">
        <v>1222</v>
      </c>
      <c r="C136" s="4" t="s">
        <v>1223</v>
      </c>
      <c r="D136" s="4" t="s">
        <v>1224</v>
      </c>
      <c r="E136" s="4" t="s">
        <v>982</v>
      </c>
      <c r="F136" s="4" t="s">
        <v>1225</v>
      </c>
      <c r="G136" s="4" t="s">
        <v>1226</v>
      </c>
      <c r="H136" s="4" t="s">
        <v>1025</v>
      </c>
      <c r="I136" s="4" t="s">
        <v>117</v>
      </c>
      <c r="J136" s="4" t="s">
        <v>1227</v>
      </c>
      <c r="K136" s="4" t="s">
        <v>1228</v>
      </c>
      <c r="L136" s="4" t="s">
        <v>1229</v>
      </c>
      <c r="M136" s="4" t="s">
        <v>407</v>
      </c>
      <c r="N136" s="4" t="s">
        <v>1230</v>
      </c>
      <c r="O136" s="4" t="s">
        <v>1231</v>
      </c>
      <c r="P136" s="4" t="s">
        <v>1232</v>
      </c>
      <c r="Q136" s="4" t="s">
        <v>185</v>
      </c>
    </row>
    <row r="137" spans="1:17" x14ac:dyDescent="0.3">
      <c r="A137" s="7" t="s">
        <v>1233</v>
      </c>
      <c r="B137" s="4" t="s">
        <v>1234</v>
      </c>
      <c r="C137" s="4" t="s">
        <v>1235</v>
      </c>
      <c r="D137" s="4" t="s">
        <v>386</v>
      </c>
      <c r="E137" s="4" t="s">
        <v>1058</v>
      </c>
      <c r="F137" s="4" t="s">
        <v>1236</v>
      </c>
      <c r="G137" s="4" t="s">
        <v>1237</v>
      </c>
      <c r="H137" s="4" t="s">
        <v>629</v>
      </c>
      <c r="I137" s="4" t="s">
        <v>617</v>
      </c>
      <c r="J137" s="4" t="s">
        <v>1238</v>
      </c>
      <c r="K137" s="4" t="s">
        <v>1239</v>
      </c>
      <c r="L137" s="4" t="s">
        <v>1240</v>
      </c>
      <c r="M137" s="4" t="s">
        <v>117</v>
      </c>
      <c r="N137" s="4" t="s">
        <v>1241</v>
      </c>
      <c r="O137" s="4" t="s">
        <v>1242</v>
      </c>
      <c r="P137" s="4" t="s">
        <v>1017</v>
      </c>
      <c r="Q137" s="4" t="s">
        <v>100</v>
      </c>
    </row>
    <row r="138" spans="1:17" x14ac:dyDescent="0.3">
      <c r="A138" s="7" t="s">
        <v>1152</v>
      </c>
      <c r="B138" s="4" t="s">
        <v>1243</v>
      </c>
      <c r="C138" s="4" t="s">
        <v>1244</v>
      </c>
      <c r="D138" s="4" t="s">
        <v>341</v>
      </c>
      <c r="E138" s="4" t="s">
        <v>1245</v>
      </c>
      <c r="F138" s="4" t="s">
        <v>1246</v>
      </c>
      <c r="G138" s="4" t="s">
        <v>1247</v>
      </c>
      <c r="H138" s="4" t="s">
        <v>206</v>
      </c>
      <c r="I138" s="4" t="s">
        <v>158</v>
      </c>
      <c r="J138" s="4" t="s">
        <v>1248</v>
      </c>
      <c r="K138" s="4" t="s">
        <v>1249</v>
      </c>
      <c r="L138" s="4" t="s">
        <v>164</v>
      </c>
      <c r="M138" s="4" t="s">
        <v>158</v>
      </c>
      <c r="N138" s="4" t="s">
        <v>1250</v>
      </c>
      <c r="O138" s="4" t="s">
        <v>68</v>
      </c>
      <c r="P138" s="4" t="s">
        <v>1022</v>
      </c>
      <c r="Q138" s="4" t="s">
        <v>100</v>
      </c>
    </row>
    <row r="139" spans="1:17" x14ac:dyDescent="0.3">
      <c r="A139" s="7" t="s">
        <v>1162</v>
      </c>
      <c r="B139" s="4" t="s">
        <v>1251</v>
      </c>
      <c r="C139" s="4" t="s">
        <v>1252</v>
      </c>
      <c r="D139" s="4" t="s">
        <v>373</v>
      </c>
      <c r="E139" s="4" t="s">
        <v>158</v>
      </c>
      <c r="F139" s="4" t="s">
        <v>1253</v>
      </c>
      <c r="G139" s="4" t="s">
        <v>1121</v>
      </c>
      <c r="H139" s="4" t="s">
        <v>157</v>
      </c>
      <c r="I139" s="4" t="s">
        <v>158</v>
      </c>
      <c r="J139" s="4" t="s">
        <v>1254</v>
      </c>
      <c r="K139" s="4" t="s">
        <v>1255</v>
      </c>
      <c r="L139" s="4" t="s">
        <v>167</v>
      </c>
      <c r="M139" s="4" t="s">
        <v>109</v>
      </c>
      <c r="N139" s="4" t="s">
        <v>1256</v>
      </c>
      <c r="O139" s="4" t="s">
        <v>1016</v>
      </c>
      <c r="P139" s="4" t="s">
        <v>920</v>
      </c>
      <c r="Q139" s="4" t="s">
        <v>127</v>
      </c>
    </row>
    <row r="140" spans="1:17" x14ac:dyDescent="0.3">
      <c r="A140" s="7" t="s">
        <v>1171</v>
      </c>
      <c r="B140" s="4" t="s">
        <v>1257</v>
      </c>
      <c r="C140" s="4" t="s">
        <v>1258</v>
      </c>
      <c r="D140" s="4" t="s">
        <v>811</v>
      </c>
      <c r="E140" s="4" t="s">
        <v>100</v>
      </c>
      <c r="F140" s="4" t="s">
        <v>1259</v>
      </c>
      <c r="G140" s="4" t="s">
        <v>1260</v>
      </c>
      <c r="H140" s="4" t="s">
        <v>838</v>
      </c>
      <c r="I140" s="4" t="s">
        <v>84</v>
      </c>
      <c r="J140" s="4" t="s">
        <v>1261</v>
      </c>
      <c r="K140" s="4" t="s">
        <v>1195</v>
      </c>
      <c r="L140" s="4" t="s">
        <v>706</v>
      </c>
      <c r="M140" s="4" t="s">
        <v>100</v>
      </c>
      <c r="N140" s="4" t="s">
        <v>1262</v>
      </c>
      <c r="O140" s="4" t="s">
        <v>1263</v>
      </c>
      <c r="P140" s="4" t="s">
        <v>706</v>
      </c>
      <c r="Q140" s="4" t="s">
        <v>84</v>
      </c>
    </row>
    <row r="141" spans="1:17" x14ac:dyDescent="0.3">
      <c r="A141" s="7" t="s">
        <v>1180</v>
      </c>
      <c r="B141" s="4" t="s">
        <v>1264</v>
      </c>
      <c r="C141" s="4" t="s">
        <v>1173</v>
      </c>
      <c r="D141" s="4" t="s">
        <v>990</v>
      </c>
      <c r="E141" s="4" t="s">
        <v>946</v>
      </c>
      <c r="F141" s="4" t="s">
        <v>1265</v>
      </c>
      <c r="G141" s="4" t="s">
        <v>1266</v>
      </c>
      <c r="H141" s="4" t="s">
        <v>200</v>
      </c>
      <c r="I141" s="4" t="s">
        <v>617</v>
      </c>
      <c r="J141" s="4" t="s">
        <v>1267</v>
      </c>
      <c r="K141" s="4" t="s">
        <v>1154</v>
      </c>
      <c r="L141" s="4" t="s">
        <v>1268</v>
      </c>
      <c r="M141" s="4" t="s">
        <v>117</v>
      </c>
      <c r="N141" s="4" t="s">
        <v>1269</v>
      </c>
      <c r="O141" s="4" t="s">
        <v>1270</v>
      </c>
      <c r="P141" s="4" t="s">
        <v>184</v>
      </c>
      <c r="Q141" s="4" t="s">
        <v>77</v>
      </c>
    </row>
    <row r="142" spans="1:17" x14ac:dyDescent="0.3">
      <c r="A142" s="7" t="s">
        <v>1191</v>
      </c>
      <c r="B142" s="4" t="s">
        <v>1271</v>
      </c>
      <c r="C142" s="4" t="s">
        <v>1272</v>
      </c>
      <c r="D142" s="4" t="s">
        <v>62</v>
      </c>
      <c r="E142" s="4" t="s">
        <v>62</v>
      </c>
      <c r="F142" s="4" t="s">
        <v>1273</v>
      </c>
      <c r="G142" s="4" t="s">
        <v>1249</v>
      </c>
      <c r="H142" s="4" t="s">
        <v>62</v>
      </c>
      <c r="I142" s="4" t="s">
        <v>62</v>
      </c>
      <c r="J142" s="4" t="s">
        <v>1274</v>
      </c>
      <c r="K142" s="4" t="s">
        <v>1275</v>
      </c>
      <c r="L142" s="4" t="s">
        <v>62</v>
      </c>
      <c r="M142" s="4" t="s">
        <v>62</v>
      </c>
      <c r="N142" s="4" t="s">
        <v>1276</v>
      </c>
      <c r="O142" s="4" t="s">
        <v>1277</v>
      </c>
      <c r="P142" s="4" t="s">
        <v>62</v>
      </c>
      <c r="Q142" s="4" t="s">
        <v>62</v>
      </c>
    </row>
    <row r="143" spans="1:17" x14ac:dyDescent="0.3">
      <c r="A143" s="4" t="s">
        <v>1278</v>
      </c>
    </row>
    <row r="144" spans="1:17" x14ac:dyDescent="0.3">
      <c r="A144" s="6" t="s">
        <v>1279</v>
      </c>
      <c r="B144" s="4" t="s">
        <v>1280</v>
      </c>
      <c r="C144" s="4" t="s">
        <v>1281</v>
      </c>
      <c r="D144" s="4" t="s">
        <v>1280</v>
      </c>
      <c r="E144" s="4" t="s">
        <v>62</v>
      </c>
      <c r="F144" s="4" t="s">
        <v>1282</v>
      </c>
      <c r="G144" s="4" t="s">
        <v>1283</v>
      </c>
      <c r="H144" s="4" t="s">
        <v>1282</v>
      </c>
      <c r="I144" s="4" t="s">
        <v>62</v>
      </c>
      <c r="J144" s="4" t="s">
        <v>1284</v>
      </c>
      <c r="K144" s="4" t="s">
        <v>1285</v>
      </c>
      <c r="L144" s="4" t="s">
        <v>1284</v>
      </c>
      <c r="M144" s="4" t="s">
        <v>62</v>
      </c>
      <c r="N144" s="4" t="s">
        <v>1286</v>
      </c>
      <c r="O144" s="4" t="s">
        <v>1287</v>
      </c>
      <c r="P144" s="4" t="s">
        <v>1286</v>
      </c>
      <c r="Q144" s="4" t="s">
        <v>62</v>
      </c>
    </row>
    <row r="145" spans="1:17" x14ac:dyDescent="0.3">
      <c r="A145" s="7" t="s">
        <v>969</v>
      </c>
      <c r="B145" s="4" t="s">
        <v>1288</v>
      </c>
      <c r="C145" s="4" t="s">
        <v>1289</v>
      </c>
      <c r="D145" s="4" t="s">
        <v>171</v>
      </c>
      <c r="E145" s="4" t="s">
        <v>617</v>
      </c>
      <c r="F145" s="4" t="s">
        <v>1290</v>
      </c>
      <c r="G145" s="4" t="s">
        <v>1291</v>
      </c>
      <c r="H145" s="4" t="s">
        <v>1029</v>
      </c>
      <c r="I145" s="4" t="s">
        <v>77</v>
      </c>
      <c r="J145" s="4" t="s">
        <v>1292</v>
      </c>
      <c r="K145" s="4" t="s">
        <v>1293</v>
      </c>
      <c r="L145" s="4" t="s">
        <v>1022</v>
      </c>
      <c r="M145" s="4" t="s">
        <v>100</v>
      </c>
      <c r="N145" s="4" t="s">
        <v>1294</v>
      </c>
      <c r="O145" s="4" t="s">
        <v>840</v>
      </c>
      <c r="P145" s="4" t="s">
        <v>659</v>
      </c>
      <c r="Q145" s="4" t="s">
        <v>127</v>
      </c>
    </row>
    <row r="146" spans="1:17" x14ac:dyDescent="0.3">
      <c r="A146" s="7" t="s">
        <v>978</v>
      </c>
      <c r="B146" s="4" t="s">
        <v>1295</v>
      </c>
      <c r="C146" s="4" t="s">
        <v>1296</v>
      </c>
      <c r="D146" s="4" t="s">
        <v>1297</v>
      </c>
      <c r="E146" s="4" t="s">
        <v>1144</v>
      </c>
      <c r="F146" s="4" t="s">
        <v>1298</v>
      </c>
      <c r="G146" s="4" t="s">
        <v>1299</v>
      </c>
      <c r="H146" s="4" t="s">
        <v>1300</v>
      </c>
      <c r="I146" s="4" t="s">
        <v>617</v>
      </c>
      <c r="J146" s="4" t="s">
        <v>1301</v>
      </c>
      <c r="K146" s="4" t="s">
        <v>1302</v>
      </c>
      <c r="L146" s="4" t="s">
        <v>558</v>
      </c>
      <c r="M146" s="4" t="s">
        <v>107</v>
      </c>
      <c r="N146" s="4" t="s">
        <v>1303</v>
      </c>
      <c r="O146" s="4" t="s">
        <v>1304</v>
      </c>
      <c r="P146" s="4" t="s">
        <v>1305</v>
      </c>
      <c r="Q146" s="4" t="s">
        <v>158</v>
      </c>
    </row>
    <row r="147" spans="1:17" x14ac:dyDescent="0.3">
      <c r="A147" s="7" t="s">
        <v>991</v>
      </c>
      <c r="B147" s="4" t="s">
        <v>1306</v>
      </c>
      <c r="C147" s="4" t="s">
        <v>1307</v>
      </c>
      <c r="D147" s="4" t="s">
        <v>1308</v>
      </c>
      <c r="E147" s="4" t="s">
        <v>1058</v>
      </c>
      <c r="F147" s="4" t="s">
        <v>1309</v>
      </c>
      <c r="G147" s="4" t="s">
        <v>1146</v>
      </c>
      <c r="H147" s="4" t="s">
        <v>1310</v>
      </c>
      <c r="I147" s="4" t="s">
        <v>617</v>
      </c>
      <c r="J147" s="4" t="s">
        <v>1311</v>
      </c>
      <c r="K147" s="4" t="s">
        <v>1312</v>
      </c>
      <c r="L147" s="4" t="s">
        <v>1313</v>
      </c>
      <c r="M147" s="4" t="s">
        <v>107</v>
      </c>
      <c r="N147" s="4" t="s">
        <v>1314</v>
      </c>
      <c r="O147" s="4" t="s">
        <v>96</v>
      </c>
      <c r="P147" s="4" t="s">
        <v>1315</v>
      </c>
      <c r="Q147" s="4" t="s">
        <v>158</v>
      </c>
    </row>
    <row r="148" spans="1:17" x14ac:dyDescent="0.3">
      <c r="A148" s="7" t="s">
        <v>1003</v>
      </c>
      <c r="B148" s="4" t="s">
        <v>1316</v>
      </c>
      <c r="C148" s="4" t="s">
        <v>1095</v>
      </c>
      <c r="D148" s="4" t="s">
        <v>213</v>
      </c>
      <c r="E148" s="4" t="s">
        <v>73</v>
      </c>
      <c r="F148" s="4" t="s">
        <v>1317</v>
      </c>
      <c r="G148" s="4" t="s">
        <v>1318</v>
      </c>
      <c r="H148" s="4" t="s">
        <v>1319</v>
      </c>
      <c r="I148" s="4" t="s">
        <v>117</v>
      </c>
      <c r="J148" s="4" t="s">
        <v>1320</v>
      </c>
      <c r="K148" s="4" t="s">
        <v>1321</v>
      </c>
      <c r="L148" s="4" t="s">
        <v>1322</v>
      </c>
      <c r="M148" s="4" t="s">
        <v>100</v>
      </c>
      <c r="N148" s="4" t="s">
        <v>1323</v>
      </c>
      <c r="O148" s="4" t="s">
        <v>1324</v>
      </c>
      <c r="P148" s="4" t="s">
        <v>1325</v>
      </c>
      <c r="Q148" s="4" t="s">
        <v>109</v>
      </c>
    </row>
    <row r="149" spans="1:17" x14ac:dyDescent="0.3">
      <c r="A149" s="7" t="s">
        <v>1014</v>
      </c>
      <c r="B149" s="4" t="s">
        <v>1326</v>
      </c>
      <c r="C149" s="4" t="s">
        <v>1327</v>
      </c>
      <c r="D149" s="4" t="s">
        <v>818</v>
      </c>
      <c r="E149" s="4" t="s">
        <v>127</v>
      </c>
      <c r="F149" s="4" t="s">
        <v>1328</v>
      </c>
      <c r="G149" s="4" t="s">
        <v>1329</v>
      </c>
      <c r="H149" s="4" t="s">
        <v>1330</v>
      </c>
      <c r="I149" s="4" t="s">
        <v>127</v>
      </c>
      <c r="J149" s="4" t="s">
        <v>1331</v>
      </c>
      <c r="K149" s="4" t="s">
        <v>1332</v>
      </c>
      <c r="L149" s="4" t="s">
        <v>782</v>
      </c>
      <c r="M149" s="4" t="s">
        <v>84</v>
      </c>
      <c r="N149" s="4" t="s">
        <v>1333</v>
      </c>
      <c r="O149" s="4" t="s">
        <v>1334</v>
      </c>
      <c r="P149" s="4" t="s">
        <v>167</v>
      </c>
      <c r="Q149" s="4" t="s">
        <v>84</v>
      </c>
    </row>
    <row r="150" spans="1:17" x14ac:dyDescent="0.3">
      <c r="A150" s="7" t="s">
        <v>1026</v>
      </c>
      <c r="B150" s="4" t="s">
        <v>1335</v>
      </c>
      <c r="C150" s="4" t="s">
        <v>1336</v>
      </c>
      <c r="D150" s="4" t="s">
        <v>803</v>
      </c>
      <c r="E150" s="4" t="s">
        <v>84</v>
      </c>
      <c r="F150" s="4" t="s">
        <v>1124</v>
      </c>
      <c r="G150" s="4" t="s">
        <v>1337</v>
      </c>
      <c r="H150" s="4" t="s">
        <v>738</v>
      </c>
      <c r="I150" s="4" t="s">
        <v>153</v>
      </c>
      <c r="J150" s="4" t="s">
        <v>789</v>
      </c>
      <c r="K150" s="4" t="s">
        <v>1338</v>
      </c>
      <c r="L150" s="4" t="s">
        <v>756</v>
      </c>
      <c r="M150" s="4" t="s">
        <v>153</v>
      </c>
      <c r="N150" s="4" t="s">
        <v>1339</v>
      </c>
      <c r="O150" s="4" t="s">
        <v>1340</v>
      </c>
      <c r="P150" s="4" t="s">
        <v>131</v>
      </c>
      <c r="Q150" s="4" t="s">
        <v>103</v>
      </c>
    </row>
    <row r="151" spans="1:17" x14ac:dyDescent="0.3">
      <c r="A151" s="7" t="s">
        <v>1038</v>
      </c>
      <c r="B151" s="4" t="s">
        <v>1341</v>
      </c>
      <c r="C151" s="4" t="s">
        <v>1342</v>
      </c>
      <c r="D151" s="4" t="s">
        <v>803</v>
      </c>
      <c r="E151" s="4" t="s">
        <v>84</v>
      </c>
      <c r="F151" s="4" t="s">
        <v>1343</v>
      </c>
      <c r="G151" s="4" t="s">
        <v>1344</v>
      </c>
      <c r="H151" s="4" t="s">
        <v>797</v>
      </c>
      <c r="I151" s="4" t="s">
        <v>153</v>
      </c>
      <c r="J151" s="4" t="s">
        <v>1345</v>
      </c>
      <c r="K151" s="4" t="s">
        <v>1346</v>
      </c>
      <c r="L151" s="4" t="s">
        <v>756</v>
      </c>
      <c r="M151" s="4" t="s">
        <v>153</v>
      </c>
      <c r="N151" s="4" t="s">
        <v>1347</v>
      </c>
      <c r="O151" s="4" t="s">
        <v>1348</v>
      </c>
      <c r="P151" s="4" t="s">
        <v>216</v>
      </c>
      <c r="Q151" s="4" t="s">
        <v>153</v>
      </c>
    </row>
    <row r="152" spans="1:17" x14ac:dyDescent="0.3">
      <c r="A152" s="7" t="s">
        <v>933</v>
      </c>
      <c r="B152" s="4" t="s">
        <v>1349</v>
      </c>
      <c r="C152" s="4" t="s">
        <v>1123</v>
      </c>
      <c r="D152" s="4" t="s">
        <v>62</v>
      </c>
      <c r="E152" s="4" t="s">
        <v>62</v>
      </c>
      <c r="F152" s="4" t="s">
        <v>1350</v>
      </c>
      <c r="G152" s="4" t="s">
        <v>1125</v>
      </c>
      <c r="H152" s="4" t="s">
        <v>62</v>
      </c>
      <c r="I152" s="4" t="s">
        <v>62</v>
      </c>
      <c r="J152" s="4" t="s">
        <v>1351</v>
      </c>
      <c r="K152" s="4" t="s">
        <v>1125</v>
      </c>
      <c r="L152" s="4" t="s">
        <v>62</v>
      </c>
      <c r="M152" s="4" t="s">
        <v>62</v>
      </c>
      <c r="N152" s="4" t="s">
        <v>1352</v>
      </c>
      <c r="O152" s="4" t="s">
        <v>1127</v>
      </c>
      <c r="P152" s="4" t="s">
        <v>62</v>
      </c>
      <c r="Q152" s="4" t="s">
        <v>62</v>
      </c>
    </row>
    <row r="153" spans="1:17" x14ac:dyDescent="0.3">
      <c r="A153" s="7" t="s">
        <v>1353</v>
      </c>
      <c r="B153" s="4" t="s">
        <v>1354</v>
      </c>
      <c r="C153" s="4" t="s">
        <v>1355</v>
      </c>
      <c r="D153" s="4" t="s">
        <v>62</v>
      </c>
      <c r="E153" s="4" t="s">
        <v>62</v>
      </c>
      <c r="F153" s="4" t="s">
        <v>1356</v>
      </c>
      <c r="G153" s="4" t="s">
        <v>603</v>
      </c>
      <c r="H153" s="4" t="s">
        <v>62</v>
      </c>
      <c r="I153" s="4" t="s">
        <v>62</v>
      </c>
      <c r="J153" s="4" t="s">
        <v>1357</v>
      </c>
      <c r="K153" s="4" t="s">
        <v>1358</v>
      </c>
      <c r="L153" s="4" t="s">
        <v>62</v>
      </c>
      <c r="M153" s="4" t="s">
        <v>62</v>
      </c>
      <c r="N153" s="4" t="s">
        <v>1359</v>
      </c>
      <c r="O153" s="4" t="s">
        <v>1360</v>
      </c>
      <c r="P153" s="4" t="s">
        <v>62</v>
      </c>
      <c r="Q153" s="4" t="s">
        <v>62</v>
      </c>
    </row>
    <row r="154" spans="1:17" ht="28.8" x14ac:dyDescent="0.3">
      <c r="A154" s="4" t="s">
        <v>1361</v>
      </c>
    </row>
    <row r="155" spans="1:17" ht="43.2" x14ac:dyDescent="0.3">
      <c r="A155" s="6" t="s">
        <v>1362</v>
      </c>
      <c r="B155" s="4" t="s">
        <v>1363</v>
      </c>
      <c r="C155" s="4" t="s">
        <v>1364</v>
      </c>
      <c r="D155" s="4" t="s">
        <v>1363</v>
      </c>
      <c r="E155" s="4" t="s">
        <v>62</v>
      </c>
      <c r="F155" s="4" t="s">
        <v>1365</v>
      </c>
      <c r="G155" s="4" t="s">
        <v>1366</v>
      </c>
      <c r="H155" s="4" t="s">
        <v>1365</v>
      </c>
      <c r="I155" s="4" t="s">
        <v>62</v>
      </c>
      <c r="J155" s="4" t="s">
        <v>1367</v>
      </c>
      <c r="K155" s="4" t="s">
        <v>1368</v>
      </c>
      <c r="L155" s="4" t="s">
        <v>1367</v>
      </c>
      <c r="M155" s="4" t="s">
        <v>62</v>
      </c>
      <c r="N155" s="4" t="s">
        <v>1369</v>
      </c>
      <c r="O155" s="4" t="s">
        <v>1370</v>
      </c>
      <c r="P155" s="4" t="s">
        <v>1369</v>
      </c>
      <c r="Q155" s="4" t="s">
        <v>62</v>
      </c>
    </row>
    <row r="156" spans="1:17" x14ac:dyDescent="0.3">
      <c r="A156" s="7" t="s">
        <v>1371</v>
      </c>
      <c r="B156" s="4" t="s">
        <v>1372</v>
      </c>
      <c r="C156" s="4" t="s">
        <v>1373</v>
      </c>
      <c r="D156" s="4" t="s">
        <v>94</v>
      </c>
      <c r="E156" s="4" t="s">
        <v>1074</v>
      </c>
      <c r="F156" s="4" t="s">
        <v>1374</v>
      </c>
      <c r="G156" s="4" t="s">
        <v>1375</v>
      </c>
      <c r="H156" s="4" t="s">
        <v>629</v>
      </c>
      <c r="I156" s="4" t="s">
        <v>158</v>
      </c>
      <c r="J156" s="4" t="s">
        <v>1376</v>
      </c>
      <c r="K156" s="4" t="s">
        <v>1046</v>
      </c>
      <c r="L156" s="4" t="s">
        <v>629</v>
      </c>
      <c r="M156" s="4" t="s">
        <v>158</v>
      </c>
      <c r="N156" s="4" t="s">
        <v>1377</v>
      </c>
      <c r="O156" s="4" t="s">
        <v>1378</v>
      </c>
      <c r="P156" s="4" t="s">
        <v>200</v>
      </c>
      <c r="Q156" s="4" t="s">
        <v>100</v>
      </c>
    </row>
    <row r="157" spans="1:17" x14ac:dyDescent="0.3">
      <c r="A157" s="7" t="s">
        <v>1233</v>
      </c>
      <c r="B157" s="4" t="s">
        <v>1379</v>
      </c>
      <c r="C157" s="4" t="s">
        <v>1380</v>
      </c>
      <c r="D157" s="4" t="s">
        <v>1381</v>
      </c>
      <c r="E157" s="4" t="s">
        <v>1382</v>
      </c>
      <c r="F157" s="4" t="s">
        <v>1383</v>
      </c>
      <c r="G157" s="4" t="s">
        <v>1384</v>
      </c>
      <c r="H157" s="4" t="s">
        <v>1319</v>
      </c>
      <c r="I157" s="4" t="s">
        <v>158</v>
      </c>
      <c r="J157" s="4" t="s">
        <v>1385</v>
      </c>
      <c r="K157" s="4" t="s">
        <v>1386</v>
      </c>
      <c r="L157" s="4" t="s">
        <v>140</v>
      </c>
      <c r="M157" s="4" t="s">
        <v>185</v>
      </c>
      <c r="N157" s="4" t="s">
        <v>1387</v>
      </c>
      <c r="O157" s="4" t="s">
        <v>1388</v>
      </c>
      <c r="P157" s="4" t="s">
        <v>1389</v>
      </c>
      <c r="Q157" s="4" t="s">
        <v>77</v>
      </c>
    </row>
    <row r="158" spans="1:17" x14ac:dyDescent="0.3">
      <c r="A158" s="7" t="s">
        <v>1152</v>
      </c>
      <c r="B158" s="4" t="s">
        <v>1390</v>
      </c>
      <c r="C158" s="4" t="s">
        <v>1391</v>
      </c>
      <c r="D158" s="4" t="s">
        <v>1392</v>
      </c>
      <c r="E158" s="4" t="s">
        <v>1382</v>
      </c>
      <c r="F158" s="4" t="s">
        <v>1393</v>
      </c>
      <c r="G158" s="4" t="s">
        <v>1394</v>
      </c>
      <c r="H158" s="4" t="s">
        <v>1395</v>
      </c>
      <c r="I158" s="4" t="s">
        <v>73</v>
      </c>
      <c r="J158" s="4" t="s">
        <v>1396</v>
      </c>
      <c r="K158" s="4" t="s">
        <v>1397</v>
      </c>
      <c r="L158" s="4" t="s">
        <v>901</v>
      </c>
      <c r="M158" s="4" t="s">
        <v>185</v>
      </c>
      <c r="N158" s="4" t="s">
        <v>1398</v>
      </c>
      <c r="O158" s="4" t="s">
        <v>1399</v>
      </c>
      <c r="P158" s="4" t="s">
        <v>1395</v>
      </c>
      <c r="Q158" s="4" t="s">
        <v>77</v>
      </c>
    </row>
    <row r="159" spans="1:17" x14ac:dyDescent="0.3">
      <c r="A159" s="7" t="s">
        <v>1162</v>
      </c>
      <c r="B159" s="4" t="s">
        <v>1400</v>
      </c>
      <c r="C159" s="4" t="s">
        <v>1177</v>
      </c>
      <c r="D159" s="4" t="s">
        <v>436</v>
      </c>
      <c r="E159" s="4" t="s">
        <v>591</v>
      </c>
      <c r="F159" s="4" t="s">
        <v>1401</v>
      </c>
      <c r="G159" s="4" t="s">
        <v>1402</v>
      </c>
      <c r="H159" s="4" t="s">
        <v>268</v>
      </c>
      <c r="I159" s="4" t="s">
        <v>73</v>
      </c>
      <c r="J159" s="4" t="s">
        <v>1403</v>
      </c>
      <c r="K159" s="4" t="s">
        <v>133</v>
      </c>
      <c r="L159" s="4" t="s">
        <v>648</v>
      </c>
      <c r="M159" s="4" t="s">
        <v>185</v>
      </c>
      <c r="N159" s="4" t="s">
        <v>1404</v>
      </c>
      <c r="O159" s="4" t="s">
        <v>1405</v>
      </c>
      <c r="P159" s="4" t="s">
        <v>272</v>
      </c>
      <c r="Q159" s="4" t="s">
        <v>77</v>
      </c>
    </row>
    <row r="160" spans="1:17" x14ac:dyDescent="0.3">
      <c r="A160" s="7" t="s">
        <v>1171</v>
      </c>
      <c r="B160" s="4" t="s">
        <v>1406</v>
      </c>
      <c r="C160" s="4" t="s">
        <v>1407</v>
      </c>
      <c r="D160" s="4" t="s">
        <v>1408</v>
      </c>
      <c r="E160" s="4" t="s">
        <v>107</v>
      </c>
      <c r="F160" s="4" t="s">
        <v>1409</v>
      </c>
      <c r="G160" s="4" t="s">
        <v>1410</v>
      </c>
      <c r="H160" s="4" t="s">
        <v>1411</v>
      </c>
      <c r="I160" s="4" t="s">
        <v>73</v>
      </c>
      <c r="J160" s="4" t="s">
        <v>1412</v>
      </c>
      <c r="K160" s="4" t="s">
        <v>1413</v>
      </c>
      <c r="L160" s="4" t="s">
        <v>1414</v>
      </c>
      <c r="M160" s="4" t="s">
        <v>185</v>
      </c>
      <c r="N160" s="4" t="s">
        <v>1415</v>
      </c>
      <c r="O160" s="4" t="s">
        <v>1416</v>
      </c>
      <c r="P160" s="4" t="s">
        <v>313</v>
      </c>
      <c r="Q160" s="4" t="s">
        <v>77</v>
      </c>
    </row>
    <row r="161" spans="1:17" x14ac:dyDescent="0.3">
      <c r="A161" s="7" t="s">
        <v>1180</v>
      </c>
      <c r="B161" s="4" t="s">
        <v>1417</v>
      </c>
      <c r="C161" s="4" t="s">
        <v>151</v>
      </c>
      <c r="D161" s="4" t="s">
        <v>712</v>
      </c>
      <c r="E161" s="4" t="s">
        <v>1418</v>
      </c>
      <c r="F161" s="4" t="s">
        <v>1419</v>
      </c>
      <c r="G161" s="4" t="s">
        <v>1420</v>
      </c>
      <c r="H161" s="4" t="s">
        <v>1421</v>
      </c>
      <c r="I161" s="4" t="s">
        <v>407</v>
      </c>
      <c r="J161" s="4" t="s">
        <v>1422</v>
      </c>
      <c r="K161" s="4" t="s">
        <v>1423</v>
      </c>
      <c r="L161" s="4" t="s">
        <v>1424</v>
      </c>
      <c r="M161" s="4" t="s">
        <v>107</v>
      </c>
      <c r="N161" s="4" t="s">
        <v>1425</v>
      </c>
      <c r="O161" s="4" t="s">
        <v>1426</v>
      </c>
      <c r="P161" s="4" t="s">
        <v>1427</v>
      </c>
      <c r="Q161" s="4" t="s">
        <v>158</v>
      </c>
    </row>
    <row r="162" spans="1:17" x14ac:dyDescent="0.3">
      <c r="A162" s="7" t="s">
        <v>1191</v>
      </c>
      <c r="B162" s="4" t="s">
        <v>1428</v>
      </c>
      <c r="C162" s="4" t="s">
        <v>1239</v>
      </c>
      <c r="D162" s="4" t="s">
        <v>62</v>
      </c>
      <c r="E162" s="4" t="s">
        <v>62</v>
      </c>
      <c r="F162" s="4" t="s">
        <v>1429</v>
      </c>
      <c r="G162" s="4" t="s">
        <v>1430</v>
      </c>
      <c r="H162" s="4" t="s">
        <v>62</v>
      </c>
      <c r="I162" s="4" t="s">
        <v>62</v>
      </c>
      <c r="J162" s="4" t="s">
        <v>1431</v>
      </c>
      <c r="K162" s="4" t="s">
        <v>1432</v>
      </c>
      <c r="L162" s="4" t="s">
        <v>62</v>
      </c>
      <c r="M162" s="4" t="s">
        <v>62</v>
      </c>
      <c r="N162" s="4" t="s">
        <v>1433</v>
      </c>
      <c r="O162" s="4" t="s">
        <v>1434</v>
      </c>
      <c r="P162" s="4" t="s">
        <v>62</v>
      </c>
      <c r="Q162" s="4" t="s">
        <v>62</v>
      </c>
    </row>
  </sheetData>
  <mergeCells count="4">
    <mergeCell ref="B1:E1"/>
    <mergeCell ref="F1:I1"/>
    <mergeCell ref="J1:M1"/>
    <mergeCell ref="N1:Q1"/>
  </mergeCells>
  <printOptions gridLines="1"/>
  <pageMargins left="0.7" right="0.7" top="0.75" bottom="0.75" header="0.3" footer="0.3"/>
  <pageSetup pageOrder="overThenDown" orientation="landscape"/>
  <headerFooter>
    <oddHeader>&amp;LTable: ACSDP5Y2020.DP04</oddHeader>
    <oddFooter>&amp;L&amp;Bdata.census.gov&amp;B | Measuring America's People, Places, and Economy &amp;R&amp;P</oddFooter>
    <evenHeader>&amp;LTable: ACSDP5Y2020.DP04</evenHeader>
    <evenFooter>&amp;L&amp;Bdata.census.gov&amp;B | Measuring America's People, Places, and Economy &amp;R&amp;P</even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FBD2C-BCBD-410E-90BF-0C045725654A}">
  <dimension ref="A1:Q162"/>
  <sheetViews>
    <sheetView workbookViewId="0"/>
  </sheetViews>
  <sheetFormatPr defaultRowHeight="14.4" x14ac:dyDescent="0.3"/>
  <cols>
    <col min="2" max="17" width="16.6640625" customWidth="1"/>
  </cols>
  <sheetData>
    <row r="1" spans="1:17" x14ac:dyDescent="0.3">
      <c r="A1" s="5" t="s">
        <v>3</v>
      </c>
      <c r="B1" s="11" t="s">
        <v>49</v>
      </c>
      <c r="C1" s="11"/>
      <c r="D1" s="11"/>
      <c r="E1" s="11"/>
      <c r="F1" s="11" t="s">
        <v>50</v>
      </c>
      <c r="G1" s="11"/>
      <c r="H1" s="11"/>
      <c r="I1" s="11"/>
      <c r="J1" s="11" t="s">
        <v>51</v>
      </c>
      <c r="K1" s="11"/>
      <c r="L1" s="11"/>
      <c r="M1" s="11"/>
      <c r="N1" s="11" t="s">
        <v>1435</v>
      </c>
      <c r="O1" s="11"/>
      <c r="P1" s="11"/>
      <c r="Q1" s="11"/>
    </row>
    <row r="2" spans="1:17" ht="43.2" x14ac:dyDescent="0.3">
      <c r="A2" s="5" t="s">
        <v>53</v>
      </c>
      <c r="B2" s="5" t="s">
        <v>54</v>
      </c>
      <c r="C2" s="5" t="s">
        <v>55</v>
      </c>
      <c r="D2" s="5" t="s">
        <v>56</v>
      </c>
      <c r="E2" s="5" t="s">
        <v>57</v>
      </c>
      <c r="F2" s="5" t="s">
        <v>54</v>
      </c>
      <c r="G2" s="5" t="s">
        <v>55</v>
      </c>
      <c r="H2" s="5" t="s">
        <v>56</v>
      </c>
      <c r="I2" s="5" t="s">
        <v>57</v>
      </c>
      <c r="J2" s="5" t="s">
        <v>54</v>
      </c>
      <c r="K2" s="5" t="s">
        <v>55</v>
      </c>
      <c r="L2" s="5" t="s">
        <v>56</v>
      </c>
      <c r="M2" s="5" t="s">
        <v>57</v>
      </c>
      <c r="N2" s="5" t="s">
        <v>54</v>
      </c>
      <c r="O2" s="5" t="s">
        <v>55</v>
      </c>
      <c r="P2" s="5" t="s">
        <v>56</v>
      </c>
      <c r="Q2" s="5" t="s">
        <v>57</v>
      </c>
    </row>
    <row r="3" spans="1:17" ht="43.2" x14ac:dyDescent="0.3">
      <c r="A3" s="4" t="s">
        <v>58</v>
      </c>
      <c r="B3" s="4"/>
      <c r="C3" s="4"/>
      <c r="D3" s="4"/>
      <c r="E3" s="4"/>
      <c r="F3" s="4"/>
      <c r="G3" s="4"/>
      <c r="H3" s="4"/>
      <c r="I3" s="4"/>
      <c r="J3" s="4"/>
      <c r="K3" s="4"/>
      <c r="L3" s="4"/>
      <c r="M3" s="4"/>
      <c r="N3" s="4"/>
      <c r="O3" s="4"/>
      <c r="P3" s="4"/>
      <c r="Q3" s="4"/>
    </row>
    <row r="4" spans="1:17" ht="43.2" x14ac:dyDescent="0.3">
      <c r="A4" s="6" t="s">
        <v>59</v>
      </c>
      <c r="B4" s="4" t="s">
        <v>1436</v>
      </c>
      <c r="C4" s="4" t="s">
        <v>1437</v>
      </c>
      <c r="D4" s="4" t="s">
        <v>1436</v>
      </c>
      <c r="E4" s="4" t="s">
        <v>62</v>
      </c>
      <c r="F4" s="4" t="s">
        <v>1438</v>
      </c>
      <c r="G4" s="4" t="s">
        <v>1439</v>
      </c>
      <c r="H4" s="4" t="s">
        <v>1438</v>
      </c>
      <c r="I4" s="4" t="s">
        <v>62</v>
      </c>
      <c r="J4" s="4" t="s">
        <v>1440</v>
      </c>
      <c r="K4" s="4" t="s">
        <v>1441</v>
      </c>
      <c r="L4" s="4" t="s">
        <v>1440</v>
      </c>
      <c r="M4" s="4" t="s">
        <v>62</v>
      </c>
      <c r="N4" s="4" t="s">
        <v>1442</v>
      </c>
      <c r="O4" s="4" t="s">
        <v>1443</v>
      </c>
      <c r="P4" s="4" t="s">
        <v>1442</v>
      </c>
      <c r="Q4" s="4" t="s">
        <v>62</v>
      </c>
    </row>
    <row r="5" spans="1:17" ht="72" x14ac:dyDescent="0.3">
      <c r="A5" s="7" t="s">
        <v>69</v>
      </c>
      <c r="B5" s="4" t="s">
        <v>1444</v>
      </c>
      <c r="C5" s="4" t="s">
        <v>1445</v>
      </c>
      <c r="D5" s="4" t="s">
        <v>76</v>
      </c>
      <c r="E5" s="4" t="s">
        <v>946</v>
      </c>
      <c r="F5" s="4" t="s">
        <v>1446</v>
      </c>
      <c r="G5" s="4" t="s">
        <v>1447</v>
      </c>
      <c r="H5" s="4" t="s">
        <v>1448</v>
      </c>
      <c r="I5" s="4" t="s">
        <v>185</v>
      </c>
      <c r="J5" s="4" t="s">
        <v>1449</v>
      </c>
      <c r="K5" s="4" t="s">
        <v>1450</v>
      </c>
      <c r="L5" s="4" t="s">
        <v>1451</v>
      </c>
      <c r="M5" s="4" t="s">
        <v>617</v>
      </c>
      <c r="N5" s="4" t="s">
        <v>1452</v>
      </c>
      <c r="O5" s="4" t="s">
        <v>1453</v>
      </c>
      <c r="P5" s="4" t="s">
        <v>1454</v>
      </c>
      <c r="Q5" s="4" t="s">
        <v>109</v>
      </c>
    </row>
    <row r="6" spans="1:17" ht="72" x14ac:dyDescent="0.3">
      <c r="A6" s="7" t="s">
        <v>85</v>
      </c>
      <c r="B6" s="4" t="s">
        <v>1455</v>
      </c>
      <c r="C6" s="4" t="s">
        <v>1456</v>
      </c>
      <c r="D6" s="4" t="s">
        <v>91</v>
      </c>
      <c r="E6" s="4" t="s">
        <v>946</v>
      </c>
      <c r="F6" s="4" t="s">
        <v>1457</v>
      </c>
      <c r="G6" s="4" t="s">
        <v>1458</v>
      </c>
      <c r="H6" s="4" t="s">
        <v>640</v>
      </c>
      <c r="I6" s="4" t="s">
        <v>185</v>
      </c>
      <c r="J6" s="4" t="s">
        <v>1459</v>
      </c>
      <c r="K6" s="4" t="s">
        <v>1460</v>
      </c>
      <c r="L6" s="4" t="s">
        <v>1395</v>
      </c>
      <c r="M6" s="4" t="s">
        <v>617</v>
      </c>
      <c r="N6" s="4" t="s">
        <v>1461</v>
      </c>
      <c r="O6" s="4" t="s">
        <v>1462</v>
      </c>
      <c r="P6" s="4" t="s">
        <v>348</v>
      </c>
      <c r="Q6" s="4" t="s">
        <v>109</v>
      </c>
    </row>
    <row r="7" spans="1:17" ht="72" x14ac:dyDescent="0.3">
      <c r="A7" s="7" t="s">
        <v>98</v>
      </c>
      <c r="B7" s="4" t="s">
        <v>102</v>
      </c>
      <c r="C7" s="4" t="s">
        <v>185</v>
      </c>
      <c r="D7" s="4" t="s">
        <v>62</v>
      </c>
      <c r="E7" s="4" t="s">
        <v>62</v>
      </c>
      <c r="F7" s="4" t="s">
        <v>1463</v>
      </c>
      <c r="G7" s="4" t="s">
        <v>77</v>
      </c>
      <c r="H7" s="4" t="s">
        <v>62</v>
      </c>
      <c r="I7" s="4" t="s">
        <v>62</v>
      </c>
      <c r="J7" s="4" t="s">
        <v>1464</v>
      </c>
      <c r="K7" s="4" t="s">
        <v>127</v>
      </c>
      <c r="L7" s="4" t="s">
        <v>62</v>
      </c>
      <c r="M7" s="4" t="s">
        <v>62</v>
      </c>
      <c r="N7" s="4" t="s">
        <v>1465</v>
      </c>
      <c r="O7" s="4" t="s">
        <v>84</v>
      </c>
      <c r="P7" s="4" t="s">
        <v>62</v>
      </c>
      <c r="Q7" s="4" t="s">
        <v>62</v>
      </c>
    </row>
    <row r="8" spans="1:17" ht="57.6" x14ac:dyDescent="0.3">
      <c r="A8" s="7" t="s">
        <v>105</v>
      </c>
      <c r="B8" s="4" t="s">
        <v>1466</v>
      </c>
      <c r="C8" s="4" t="s">
        <v>1058</v>
      </c>
      <c r="D8" s="4" t="s">
        <v>62</v>
      </c>
      <c r="E8" s="4" t="s">
        <v>62</v>
      </c>
      <c r="F8" s="4" t="s">
        <v>1467</v>
      </c>
      <c r="G8" s="4" t="s">
        <v>591</v>
      </c>
      <c r="H8" s="4" t="s">
        <v>62</v>
      </c>
      <c r="I8" s="4" t="s">
        <v>62</v>
      </c>
      <c r="J8" s="4" t="s">
        <v>1468</v>
      </c>
      <c r="K8" s="4" t="s">
        <v>107</v>
      </c>
      <c r="L8" s="4" t="s">
        <v>62</v>
      </c>
      <c r="M8" s="4" t="s">
        <v>62</v>
      </c>
      <c r="N8" s="4" t="s">
        <v>462</v>
      </c>
      <c r="O8" s="4" t="s">
        <v>185</v>
      </c>
      <c r="P8" s="4" t="s">
        <v>62</v>
      </c>
      <c r="Q8" s="4" t="s">
        <v>62</v>
      </c>
    </row>
    <row r="9" spans="1:17" ht="43.2" x14ac:dyDescent="0.3">
      <c r="A9" s="4" t="s">
        <v>112</v>
      </c>
      <c r="B9" s="4"/>
      <c r="C9" s="4"/>
      <c r="D9" s="4"/>
      <c r="E9" s="4"/>
      <c r="F9" s="4"/>
      <c r="G9" s="4"/>
      <c r="H9" s="4"/>
      <c r="I9" s="4"/>
      <c r="J9" s="4"/>
      <c r="K9" s="4"/>
      <c r="L9" s="4"/>
      <c r="M9" s="4"/>
      <c r="N9" s="4"/>
      <c r="O9" s="4"/>
      <c r="P9" s="4"/>
      <c r="Q9" s="4"/>
    </row>
    <row r="10" spans="1:17" ht="43.2" x14ac:dyDescent="0.3">
      <c r="A10" s="6" t="s">
        <v>59</v>
      </c>
      <c r="B10" s="4" t="s">
        <v>1436</v>
      </c>
      <c r="C10" s="4" t="s">
        <v>1437</v>
      </c>
      <c r="D10" s="4" t="s">
        <v>1436</v>
      </c>
      <c r="E10" s="4" t="s">
        <v>62</v>
      </c>
      <c r="F10" s="4" t="s">
        <v>1438</v>
      </c>
      <c r="G10" s="4" t="s">
        <v>1439</v>
      </c>
      <c r="H10" s="4" t="s">
        <v>1438</v>
      </c>
      <c r="I10" s="4" t="s">
        <v>62</v>
      </c>
      <c r="J10" s="4" t="s">
        <v>1440</v>
      </c>
      <c r="K10" s="4" t="s">
        <v>1441</v>
      </c>
      <c r="L10" s="4" t="s">
        <v>1440</v>
      </c>
      <c r="M10" s="4" t="s">
        <v>62</v>
      </c>
      <c r="N10" s="4" t="s">
        <v>1442</v>
      </c>
      <c r="O10" s="4" t="s">
        <v>1443</v>
      </c>
      <c r="P10" s="4" t="s">
        <v>1442</v>
      </c>
      <c r="Q10" s="4" t="s">
        <v>62</v>
      </c>
    </row>
    <row r="11" spans="1:17" ht="43.2" x14ac:dyDescent="0.3">
      <c r="A11" s="7" t="s">
        <v>113</v>
      </c>
      <c r="B11" s="4" t="s">
        <v>1469</v>
      </c>
      <c r="C11" s="4" t="s">
        <v>1470</v>
      </c>
      <c r="D11" s="4" t="s">
        <v>126</v>
      </c>
      <c r="E11" s="4" t="s">
        <v>1471</v>
      </c>
      <c r="F11" s="4" t="s">
        <v>1472</v>
      </c>
      <c r="G11" s="4" t="s">
        <v>1473</v>
      </c>
      <c r="H11" s="4" t="s">
        <v>1474</v>
      </c>
      <c r="I11" s="4" t="s">
        <v>394</v>
      </c>
      <c r="J11" s="4" t="s">
        <v>1475</v>
      </c>
      <c r="K11" s="4" t="s">
        <v>1476</v>
      </c>
      <c r="L11" s="4" t="s">
        <v>1477</v>
      </c>
      <c r="M11" s="4" t="s">
        <v>591</v>
      </c>
      <c r="N11" s="4" t="s">
        <v>1478</v>
      </c>
      <c r="O11" s="4" t="s">
        <v>1479</v>
      </c>
      <c r="P11" s="4" t="s">
        <v>1480</v>
      </c>
      <c r="Q11" s="4" t="s">
        <v>185</v>
      </c>
    </row>
    <row r="12" spans="1:17" ht="43.2" x14ac:dyDescent="0.3">
      <c r="A12" s="7" t="s">
        <v>128</v>
      </c>
      <c r="B12" s="4" t="s">
        <v>1481</v>
      </c>
      <c r="C12" s="4" t="s">
        <v>1482</v>
      </c>
      <c r="D12" s="4" t="s">
        <v>131</v>
      </c>
      <c r="E12" s="4" t="s">
        <v>109</v>
      </c>
      <c r="F12" s="4" t="s">
        <v>1483</v>
      </c>
      <c r="G12" s="4" t="s">
        <v>1484</v>
      </c>
      <c r="H12" s="4" t="s">
        <v>1108</v>
      </c>
      <c r="I12" s="4" t="s">
        <v>158</v>
      </c>
      <c r="J12" s="4" t="s">
        <v>1485</v>
      </c>
      <c r="K12" s="4" t="s">
        <v>1486</v>
      </c>
      <c r="L12" s="4" t="s">
        <v>213</v>
      </c>
      <c r="M12" s="4" t="s">
        <v>158</v>
      </c>
      <c r="N12" s="4" t="s">
        <v>1487</v>
      </c>
      <c r="O12" s="4" t="s">
        <v>1488</v>
      </c>
      <c r="P12" s="4" t="s">
        <v>645</v>
      </c>
      <c r="Q12" s="4" t="s">
        <v>100</v>
      </c>
    </row>
    <row r="13" spans="1:17" ht="28.8" x14ac:dyDescent="0.3">
      <c r="A13" s="7" t="s">
        <v>141</v>
      </c>
      <c r="B13" s="4" t="s">
        <v>1489</v>
      </c>
      <c r="C13" s="4" t="s">
        <v>1490</v>
      </c>
      <c r="D13" s="4" t="s">
        <v>838</v>
      </c>
      <c r="E13" s="4" t="s">
        <v>158</v>
      </c>
      <c r="F13" s="4" t="s">
        <v>1491</v>
      </c>
      <c r="G13" s="4" t="s">
        <v>1492</v>
      </c>
      <c r="H13" s="4" t="s">
        <v>240</v>
      </c>
      <c r="I13" s="4" t="s">
        <v>127</v>
      </c>
      <c r="J13" s="4" t="s">
        <v>1493</v>
      </c>
      <c r="K13" s="4" t="s">
        <v>1494</v>
      </c>
      <c r="L13" s="4" t="s">
        <v>152</v>
      </c>
      <c r="M13" s="4" t="s">
        <v>77</v>
      </c>
      <c r="N13" s="4" t="s">
        <v>1495</v>
      </c>
      <c r="O13" s="4" t="s">
        <v>1496</v>
      </c>
      <c r="P13" s="4" t="s">
        <v>152</v>
      </c>
      <c r="Q13" s="4" t="s">
        <v>127</v>
      </c>
    </row>
    <row r="14" spans="1:17" ht="28.8" x14ac:dyDescent="0.3">
      <c r="A14" s="7" t="s">
        <v>154</v>
      </c>
      <c r="B14" s="4" t="s">
        <v>1497</v>
      </c>
      <c r="C14" s="4" t="s">
        <v>1498</v>
      </c>
      <c r="D14" s="4" t="s">
        <v>1322</v>
      </c>
      <c r="E14" s="4" t="s">
        <v>1382</v>
      </c>
      <c r="F14" s="4" t="s">
        <v>1499</v>
      </c>
      <c r="G14" s="4" t="s">
        <v>1500</v>
      </c>
      <c r="H14" s="4" t="s">
        <v>338</v>
      </c>
      <c r="I14" s="4" t="s">
        <v>109</v>
      </c>
      <c r="J14" s="4" t="s">
        <v>1501</v>
      </c>
      <c r="K14" s="4" t="s">
        <v>1502</v>
      </c>
      <c r="L14" s="4" t="s">
        <v>1029</v>
      </c>
      <c r="M14" s="4" t="s">
        <v>185</v>
      </c>
      <c r="N14" s="4" t="s">
        <v>1503</v>
      </c>
      <c r="O14" s="4" t="s">
        <v>1504</v>
      </c>
      <c r="P14" s="4" t="s">
        <v>134</v>
      </c>
      <c r="Q14" s="4" t="s">
        <v>77</v>
      </c>
    </row>
    <row r="15" spans="1:17" ht="28.8" x14ac:dyDescent="0.3">
      <c r="A15" s="7" t="s">
        <v>168</v>
      </c>
      <c r="B15" s="4" t="s">
        <v>1505</v>
      </c>
      <c r="C15" s="4" t="s">
        <v>1506</v>
      </c>
      <c r="D15" s="4" t="s">
        <v>184</v>
      </c>
      <c r="E15" s="4" t="s">
        <v>1507</v>
      </c>
      <c r="F15" s="4" t="s">
        <v>1508</v>
      </c>
      <c r="G15" s="4" t="s">
        <v>1509</v>
      </c>
      <c r="H15" s="4" t="s">
        <v>1510</v>
      </c>
      <c r="I15" s="4" t="s">
        <v>109</v>
      </c>
      <c r="J15" s="4" t="s">
        <v>1511</v>
      </c>
      <c r="K15" s="4" t="s">
        <v>1512</v>
      </c>
      <c r="L15" s="4" t="s">
        <v>188</v>
      </c>
      <c r="M15" s="4" t="s">
        <v>117</v>
      </c>
      <c r="N15" s="4" t="s">
        <v>1513</v>
      </c>
      <c r="O15" s="4" t="s">
        <v>1514</v>
      </c>
      <c r="P15" s="4" t="s">
        <v>487</v>
      </c>
      <c r="Q15" s="4" t="s">
        <v>100</v>
      </c>
    </row>
    <row r="16" spans="1:17" ht="43.2" x14ac:dyDescent="0.3">
      <c r="A16" s="7" t="s">
        <v>181</v>
      </c>
      <c r="B16" s="4" t="s">
        <v>1515</v>
      </c>
      <c r="C16" s="4" t="s">
        <v>1516</v>
      </c>
      <c r="D16" s="4" t="s">
        <v>1517</v>
      </c>
      <c r="E16" s="4" t="s">
        <v>982</v>
      </c>
      <c r="F16" s="4" t="s">
        <v>1518</v>
      </c>
      <c r="G16" s="4" t="s">
        <v>1519</v>
      </c>
      <c r="H16" s="4" t="s">
        <v>654</v>
      </c>
      <c r="I16" s="4" t="s">
        <v>617</v>
      </c>
      <c r="J16" s="4" t="s">
        <v>1520</v>
      </c>
      <c r="K16" s="4" t="s">
        <v>1521</v>
      </c>
      <c r="L16" s="4" t="s">
        <v>1522</v>
      </c>
      <c r="M16" s="4" t="s">
        <v>117</v>
      </c>
      <c r="N16" s="4" t="s">
        <v>1523</v>
      </c>
      <c r="O16" s="4" t="s">
        <v>1524</v>
      </c>
      <c r="P16" s="4" t="s">
        <v>338</v>
      </c>
      <c r="Q16" s="4" t="s">
        <v>77</v>
      </c>
    </row>
    <row r="17" spans="1:17" ht="43.2" x14ac:dyDescent="0.3">
      <c r="A17" s="7" t="s">
        <v>194</v>
      </c>
      <c r="B17" s="4" t="s">
        <v>1525</v>
      </c>
      <c r="C17" s="4" t="s">
        <v>1526</v>
      </c>
      <c r="D17" s="4" t="s">
        <v>1268</v>
      </c>
      <c r="E17" s="4" t="s">
        <v>591</v>
      </c>
      <c r="F17" s="4" t="s">
        <v>1527</v>
      </c>
      <c r="G17" s="4" t="s">
        <v>1528</v>
      </c>
      <c r="H17" s="4" t="s">
        <v>480</v>
      </c>
      <c r="I17" s="4" t="s">
        <v>394</v>
      </c>
      <c r="J17" s="4" t="s">
        <v>1529</v>
      </c>
      <c r="K17" s="4" t="s">
        <v>1530</v>
      </c>
      <c r="L17" s="4" t="s">
        <v>197</v>
      </c>
      <c r="M17" s="4" t="s">
        <v>617</v>
      </c>
      <c r="N17" s="4" t="s">
        <v>1531</v>
      </c>
      <c r="O17" s="4" t="s">
        <v>1532</v>
      </c>
      <c r="P17" s="4" t="s">
        <v>1533</v>
      </c>
      <c r="Q17" s="4" t="s">
        <v>100</v>
      </c>
    </row>
    <row r="18" spans="1:17" ht="43.2" x14ac:dyDescent="0.3">
      <c r="A18" s="7" t="s">
        <v>207</v>
      </c>
      <c r="B18" s="4" t="s">
        <v>1534</v>
      </c>
      <c r="C18" s="4" t="s">
        <v>1535</v>
      </c>
      <c r="D18" s="4" t="s">
        <v>743</v>
      </c>
      <c r="E18" s="4" t="s">
        <v>185</v>
      </c>
      <c r="F18" s="4" t="s">
        <v>1536</v>
      </c>
      <c r="G18" s="4" t="s">
        <v>1537</v>
      </c>
      <c r="H18" s="4" t="s">
        <v>360</v>
      </c>
      <c r="I18" s="4" t="s">
        <v>77</v>
      </c>
      <c r="J18" s="4" t="s">
        <v>1538</v>
      </c>
      <c r="K18" s="4" t="s">
        <v>1539</v>
      </c>
      <c r="L18" s="4" t="s">
        <v>253</v>
      </c>
      <c r="M18" s="4" t="s">
        <v>127</v>
      </c>
      <c r="N18" s="4" t="s">
        <v>1540</v>
      </c>
      <c r="O18" s="4" t="s">
        <v>1541</v>
      </c>
      <c r="P18" s="4" t="s">
        <v>706</v>
      </c>
      <c r="Q18" s="4" t="s">
        <v>84</v>
      </c>
    </row>
    <row r="19" spans="1:17" ht="57.6" x14ac:dyDescent="0.3">
      <c r="A19" s="7" t="s">
        <v>220</v>
      </c>
      <c r="B19" s="4" t="s">
        <v>745</v>
      </c>
      <c r="C19" s="4" t="s">
        <v>1542</v>
      </c>
      <c r="D19" s="4" t="s">
        <v>226</v>
      </c>
      <c r="E19" s="4" t="s">
        <v>103</v>
      </c>
      <c r="F19" s="4" t="s">
        <v>1543</v>
      </c>
      <c r="G19" s="4" t="s">
        <v>1005</v>
      </c>
      <c r="H19" s="4" t="s">
        <v>223</v>
      </c>
      <c r="I19" s="4" t="s">
        <v>153</v>
      </c>
      <c r="J19" s="4" t="s">
        <v>745</v>
      </c>
      <c r="K19" s="4" t="s">
        <v>1544</v>
      </c>
      <c r="L19" s="4" t="s">
        <v>226</v>
      </c>
      <c r="M19" s="4" t="s">
        <v>153</v>
      </c>
      <c r="N19" s="4" t="s">
        <v>1545</v>
      </c>
      <c r="O19" s="4" t="s">
        <v>1164</v>
      </c>
      <c r="P19" s="4" t="s">
        <v>223</v>
      </c>
      <c r="Q19" s="4" t="s">
        <v>153</v>
      </c>
    </row>
    <row r="20" spans="1:17" ht="43.2" x14ac:dyDescent="0.3">
      <c r="A20" s="4" t="s">
        <v>231</v>
      </c>
      <c r="B20" s="4"/>
      <c r="C20" s="4"/>
      <c r="D20" s="4"/>
      <c r="E20" s="4"/>
      <c r="F20" s="4"/>
      <c r="G20" s="4"/>
      <c r="H20" s="4"/>
      <c r="I20" s="4"/>
      <c r="J20" s="4"/>
      <c r="K20" s="4"/>
      <c r="L20" s="4"/>
      <c r="M20" s="4"/>
      <c r="N20" s="4"/>
      <c r="O20" s="4"/>
      <c r="P20" s="4"/>
      <c r="Q20" s="4"/>
    </row>
    <row r="21" spans="1:17" ht="43.2" x14ac:dyDescent="0.3">
      <c r="A21" s="6" t="s">
        <v>59</v>
      </c>
      <c r="B21" s="4" t="s">
        <v>1436</v>
      </c>
      <c r="C21" s="4" t="s">
        <v>1437</v>
      </c>
      <c r="D21" s="4" t="s">
        <v>1436</v>
      </c>
      <c r="E21" s="4" t="s">
        <v>62</v>
      </c>
      <c r="F21" s="4" t="s">
        <v>1438</v>
      </c>
      <c r="G21" s="4" t="s">
        <v>1439</v>
      </c>
      <c r="H21" s="4" t="s">
        <v>1438</v>
      </c>
      <c r="I21" s="4" t="s">
        <v>62</v>
      </c>
      <c r="J21" s="4" t="s">
        <v>1440</v>
      </c>
      <c r="K21" s="4" t="s">
        <v>1441</v>
      </c>
      <c r="L21" s="4" t="s">
        <v>1440</v>
      </c>
      <c r="M21" s="4" t="s">
        <v>62</v>
      </c>
      <c r="N21" s="4" t="s">
        <v>1442</v>
      </c>
      <c r="O21" s="4" t="s">
        <v>1443</v>
      </c>
      <c r="P21" s="4" t="s">
        <v>1442</v>
      </c>
      <c r="Q21" s="4" t="s">
        <v>62</v>
      </c>
    </row>
    <row r="22" spans="1:17" ht="57.6" x14ac:dyDescent="0.3">
      <c r="A22" s="7" t="s">
        <v>1546</v>
      </c>
      <c r="B22" s="4" t="s">
        <v>804</v>
      </c>
      <c r="C22" s="4" t="s">
        <v>1547</v>
      </c>
      <c r="D22" s="4" t="s">
        <v>743</v>
      </c>
      <c r="E22" s="4" t="s">
        <v>117</v>
      </c>
      <c r="F22" s="4" t="s">
        <v>1548</v>
      </c>
      <c r="G22" s="4" t="s">
        <v>1549</v>
      </c>
      <c r="H22" s="4" t="s">
        <v>445</v>
      </c>
      <c r="I22" s="4" t="s">
        <v>117</v>
      </c>
      <c r="J22" s="4" t="s">
        <v>1550</v>
      </c>
      <c r="K22" s="4" t="s">
        <v>653</v>
      </c>
      <c r="L22" s="4" t="s">
        <v>210</v>
      </c>
      <c r="M22" s="4" t="s">
        <v>77</v>
      </c>
      <c r="N22" s="4" t="s">
        <v>1551</v>
      </c>
      <c r="O22" s="4" t="s">
        <v>1552</v>
      </c>
      <c r="P22" s="4" t="s">
        <v>1330</v>
      </c>
      <c r="Q22" s="4" t="s">
        <v>127</v>
      </c>
    </row>
    <row r="23" spans="1:17" ht="57.6" x14ac:dyDescent="0.3">
      <c r="A23" s="7" t="s">
        <v>1553</v>
      </c>
      <c r="B23" s="4" t="s">
        <v>1554</v>
      </c>
      <c r="C23" s="4" t="s">
        <v>1555</v>
      </c>
      <c r="D23" s="4" t="s">
        <v>1061</v>
      </c>
      <c r="E23" s="4" t="s">
        <v>1418</v>
      </c>
      <c r="F23" s="4" t="s">
        <v>1556</v>
      </c>
      <c r="G23" s="4" t="s">
        <v>1557</v>
      </c>
      <c r="H23" s="4" t="s">
        <v>1389</v>
      </c>
      <c r="I23" s="4" t="s">
        <v>407</v>
      </c>
      <c r="J23" s="4" t="s">
        <v>1558</v>
      </c>
      <c r="K23" s="4" t="s">
        <v>1559</v>
      </c>
      <c r="L23" s="4" t="s">
        <v>338</v>
      </c>
      <c r="M23" s="4" t="s">
        <v>73</v>
      </c>
      <c r="N23" s="4" t="s">
        <v>1560</v>
      </c>
      <c r="O23" s="4" t="s">
        <v>1561</v>
      </c>
      <c r="P23" s="4" t="s">
        <v>278</v>
      </c>
      <c r="Q23" s="4" t="s">
        <v>100</v>
      </c>
    </row>
    <row r="24" spans="1:17" ht="57.6" x14ac:dyDescent="0.3">
      <c r="A24" s="7" t="s">
        <v>257</v>
      </c>
      <c r="B24" s="4" t="s">
        <v>1562</v>
      </c>
      <c r="C24" s="4" t="s">
        <v>1563</v>
      </c>
      <c r="D24" s="4" t="s">
        <v>1522</v>
      </c>
      <c r="E24" s="4" t="s">
        <v>107</v>
      </c>
      <c r="F24" s="4" t="s">
        <v>1564</v>
      </c>
      <c r="G24" s="4" t="s">
        <v>1565</v>
      </c>
      <c r="H24" s="4" t="s">
        <v>1566</v>
      </c>
      <c r="I24" s="4" t="s">
        <v>73</v>
      </c>
      <c r="J24" s="4" t="s">
        <v>1567</v>
      </c>
      <c r="K24" s="4" t="s">
        <v>1568</v>
      </c>
      <c r="L24" s="4" t="s">
        <v>1041</v>
      </c>
      <c r="M24" s="4" t="s">
        <v>117</v>
      </c>
      <c r="N24" s="4" t="s">
        <v>1569</v>
      </c>
      <c r="O24" s="4" t="s">
        <v>1570</v>
      </c>
      <c r="P24" s="4" t="s">
        <v>268</v>
      </c>
      <c r="Q24" s="4" t="s">
        <v>109</v>
      </c>
    </row>
    <row r="25" spans="1:17" ht="57.6" x14ac:dyDescent="0.3">
      <c r="A25" s="7" t="s">
        <v>269</v>
      </c>
      <c r="B25" s="4" t="s">
        <v>1571</v>
      </c>
      <c r="C25" s="4" t="s">
        <v>824</v>
      </c>
      <c r="D25" s="4" t="s">
        <v>645</v>
      </c>
      <c r="E25" s="4" t="s">
        <v>1572</v>
      </c>
      <c r="F25" s="4" t="s">
        <v>1573</v>
      </c>
      <c r="G25" s="4" t="s">
        <v>1574</v>
      </c>
      <c r="H25" s="4" t="s">
        <v>272</v>
      </c>
      <c r="I25" s="4" t="s">
        <v>117</v>
      </c>
      <c r="J25" s="4" t="s">
        <v>1575</v>
      </c>
      <c r="K25" s="4" t="s">
        <v>1576</v>
      </c>
      <c r="L25" s="4" t="s">
        <v>184</v>
      </c>
      <c r="M25" s="4" t="s">
        <v>117</v>
      </c>
      <c r="N25" s="4" t="s">
        <v>1577</v>
      </c>
      <c r="O25" s="4" t="s">
        <v>1578</v>
      </c>
      <c r="P25" s="4" t="s">
        <v>433</v>
      </c>
      <c r="Q25" s="4" t="s">
        <v>100</v>
      </c>
    </row>
    <row r="26" spans="1:17" ht="57.6" x14ac:dyDescent="0.3">
      <c r="A26" s="7" t="s">
        <v>282</v>
      </c>
      <c r="B26" s="4" t="s">
        <v>1579</v>
      </c>
      <c r="C26" s="4" t="s">
        <v>1580</v>
      </c>
      <c r="D26" s="4" t="s">
        <v>319</v>
      </c>
      <c r="E26" s="4" t="s">
        <v>1058</v>
      </c>
      <c r="F26" s="4" t="s">
        <v>1581</v>
      </c>
      <c r="G26" s="4" t="s">
        <v>1582</v>
      </c>
      <c r="H26" s="4" t="s">
        <v>1061</v>
      </c>
      <c r="I26" s="4" t="s">
        <v>117</v>
      </c>
      <c r="J26" s="4" t="s">
        <v>1583</v>
      </c>
      <c r="K26" s="4" t="s">
        <v>1584</v>
      </c>
      <c r="L26" s="4" t="s">
        <v>88</v>
      </c>
      <c r="M26" s="4" t="s">
        <v>394</v>
      </c>
      <c r="N26" s="4" t="s">
        <v>1585</v>
      </c>
      <c r="O26" s="4" t="s">
        <v>1586</v>
      </c>
      <c r="P26" s="4" t="s">
        <v>1587</v>
      </c>
      <c r="Q26" s="4" t="s">
        <v>109</v>
      </c>
    </row>
    <row r="27" spans="1:17" ht="57.6" x14ac:dyDescent="0.3">
      <c r="A27" s="7" t="s">
        <v>295</v>
      </c>
      <c r="B27" s="4" t="s">
        <v>1588</v>
      </c>
      <c r="C27" s="4" t="s">
        <v>697</v>
      </c>
      <c r="D27" s="4" t="s">
        <v>1589</v>
      </c>
      <c r="E27" s="4" t="s">
        <v>1418</v>
      </c>
      <c r="F27" s="4" t="s">
        <v>1590</v>
      </c>
      <c r="G27" s="4" t="s">
        <v>1591</v>
      </c>
      <c r="H27" s="4" t="s">
        <v>522</v>
      </c>
      <c r="I27" s="4" t="s">
        <v>117</v>
      </c>
      <c r="J27" s="4" t="s">
        <v>1592</v>
      </c>
      <c r="K27" s="4" t="s">
        <v>1593</v>
      </c>
      <c r="L27" s="4" t="s">
        <v>1224</v>
      </c>
      <c r="M27" s="4" t="s">
        <v>394</v>
      </c>
      <c r="N27" s="4" t="s">
        <v>1594</v>
      </c>
      <c r="O27" s="4" t="s">
        <v>1595</v>
      </c>
      <c r="P27" s="4" t="s">
        <v>1061</v>
      </c>
      <c r="Q27" s="4" t="s">
        <v>100</v>
      </c>
    </row>
    <row r="28" spans="1:17" ht="57.6" x14ac:dyDescent="0.3">
      <c r="A28" s="7" t="s">
        <v>308</v>
      </c>
      <c r="B28" s="4" t="s">
        <v>1596</v>
      </c>
      <c r="C28" s="4" t="s">
        <v>1597</v>
      </c>
      <c r="D28" s="4" t="s">
        <v>1395</v>
      </c>
      <c r="E28" s="4" t="s">
        <v>1507</v>
      </c>
      <c r="F28" s="4" t="s">
        <v>1598</v>
      </c>
      <c r="G28" s="4" t="s">
        <v>1599</v>
      </c>
      <c r="H28" s="4" t="s">
        <v>640</v>
      </c>
      <c r="I28" s="4" t="s">
        <v>185</v>
      </c>
      <c r="J28" s="4" t="s">
        <v>1600</v>
      </c>
      <c r="K28" s="4" t="s">
        <v>1601</v>
      </c>
      <c r="L28" s="4" t="s">
        <v>891</v>
      </c>
      <c r="M28" s="4" t="s">
        <v>107</v>
      </c>
      <c r="N28" s="4" t="s">
        <v>1602</v>
      </c>
      <c r="O28" s="4" t="s">
        <v>1603</v>
      </c>
      <c r="P28" s="4" t="s">
        <v>450</v>
      </c>
      <c r="Q28" s="4" t="s">
        <v>109</v>
      </c>
    </row>
    <row r="29" spans="1:17" ht="57.6" x14ac:dyDescent="0.3">
      <c r="A29" s="7" t="s">
        <v>320</v>
      </c>
      <c r="B29" s="4" t="s">
        <v>1604</v>
      </c>
      <c r="C29" s="4" t="s">
        <v>1605</v>
      </c>
      <c r="D29" s="4" t="s">
        <v>341</v>
      </c>
      <c r="E29" s="4" t="s">
        <v>591</v>
      </c>
      <c r="F29" s="4" t="s">
        <v>1606</v>
      </c>
      <c r="G29" s="4" t="s">
        <v>1607</v>
      </c>
      <c r="H29" s="4" t="s">
        <v>1608</v>
      </c>
      <c r="I29" s="4" t="s">
        <v>100</v>
      </c>
      <c r="J29" s="4" t="s">
        <v>1609</v>
      </c>
      <c r="K29" s="4" t="s">
        <v>935</v>
      </c>
      <c r="L29" s="4" t="s">
        <v>1566</v>
      </c>
      <c r="M29" s="4" t="s">
        <v>394</v>
      </c>
      <c r="N29" s="4" t="s">
        <v>1610</v>
      </c>
      <c r="O29" s="4" t="s">
        <v>1611</v>
      </c>
      <c r="P29" s="4" t="s">
        <v>383</v>
      </c>
      <c r="Q29" s="4" t="s">
        <v>100</v>
      </c>
    </row>
    <row r="30" spans="1:17" ht="57.6" x14ac:dyDescent="0.3">
      <c r="A30" s="7" t="s">
        <v>332</v>
      </c>
      <c r="B30" s="4" t="s">
        <v>1612</v>
      </c>
      <c r="C30" s="4" t="s">
        <v>1613</v>
      </c>
      <c r="D30" s="4" t="s">
        <v>137</v>
      </c>
      <c r="E30" s="4" t="s">
        <v>407</v>
      </c>
      <c r="F30" s="4" t="s">
        <v>1614</v>
      </c>
      <c r="G30" s="4" t="s">
        <v>1615</v>
      </c>
      <c r="H30" s="4" t="s">
        <v>243</v>
      </c>
      <c r="I30" s="4" t="s">
        <v>77</v>
      </c>
      <c r="J30" s="4" t="s">
        <v>1616</v>
      </c>
      <c r="K30" s="4" t="s">
        <v>1617</v>
      </c>
      <c r="L30" s="4" t="s">
        <v>191</v>
      </c>
      <c r="M30" s="4" t="s">
        <v>158</v>
      </c>
      <c r="N30" s="4" t="s">
        <v>1618</v>
      </c>
      <c r="O30" s="4" t="s">
        <v>1619</v>
      </c>
      <c r="P30" s="4" t="s">
        <v>1620</v>
      </c>
      <c r="Q30" s="4" t="s">
        <v>84</v>
      </c>
    </row>
    <row r="31" spans="1:17" ht="57.6" x14ac:dyDescent="0.3">
      <c r="A31" s="7" t="s">
        <v>345</v>
      </c>
      <c r="B31" s="4" t="s">
        <v>1621</v>
      </c>
      <c r="C31" s="4" t="s">
        <v>1622</v>
      </c>
      <c r="D31" s="4" t="s">
        <v>1037</v>
      </c>
      <c r="E31" s="4" t="s">
        <v>591</v>
      </c>
      <c r="F31" s="4" t="s">
        <v>1623</v>
      </c>
      <c r="G31" s="4" t="s">
        <v>1624</v>
      </c>
      <c r="H31" s="4" t="s">
        <v>344</v>
      </c>
      <c r="I31" s="4" t="s">
        <v>100</v>
      </c>
      <c r="J31" s="4" t="s">
        <v>1625</v>
      </c>
      <c r="K31" s="4" t="s">
        <v>1626</v>
      </c>
      <c r="L31" s="4" t="s">
        <v>184</v>
      </c>
      <c r="M31" s="4" t="s">
        <v>158</v>
      </c>
      <c r="N31" s="4" t="s">
        <v>1627</v>
      </c>
      <c r="O31" s="4" t="s">
        <v>1628</v>
      </c>
      <c r="P31" s="4" t="s">
        <v>137</v>
      </c>
      <c r="Q31" s="4" t="s">
        <v>127</v>
      </c>
    </row>
    <row r="32" spans="1:17" x14ac:dyDescent="0.3">
      <c r="A32" s="4" t="s">
        <v>356</v>
      </c>
      <c r="B32" s="4"/>
      <c r="C32" s="4"/>
      <c r="D32" s="4"/>
      <c r="E32" s="4"/>
      <c r="F32" s="4"/>
      <c r="G32" s="4"/>
      <c r="H32" s="4"/>
      <c r="I32" s="4"/>
      <c r="J32" s="4"/>
      <c r="K32" s="4"/>
      <c r="L32" s="4"/>
      <c r="M32" s="4"/>
      <c r="N32" s="4"/>
      <c r="O32" s="4"/>
      <c r="P32" s="4"/>
      <c r="Q32" s="4"/>
    </row>
    <row r="33" spans="1:17" ht="43.2" x14ac:dyDescent="0.3">
      <c r="A33" s="6" t="s">
        <v>59</v>
      </c>
      <c r="B33" s="4" t="s">
        <v>1436</v>
      </c>
      <c r="C33" s="4" t="s">
        <v>1437</v>
      </c>
      <c r="D33" s="4" t="s">
        <v>1436</v>
      </c>
      <c r="E33" s="4" t="s">
        <v>62</v>
      </c>
      <c r="F33" s="4" t="s">
        <v>1438</v>
      </c>
      <c r="G33" s="4" t="s">
        <v>1439</v>
      </c>
      <c r="H33" s="4" t="s">
        <v>1438</v>
      </c>
      <c r="I33" s="4" t="s">
        <v>62</v>
      </c>
      <c r="J33" s="4" t="s">
        <v>1440</v>
      </c>
      <c r="K33" s="4" t="s">
        <v>1441</v>
      </c>
      <c r="L33" s="4" t="s">
        <v>1440</v>
      </c>
      <c r="M33" s="4" t="s">
        <v>62</v>
      </c>
      <c r="N33" s="4" t="s">
        <v>1442</v>
      </c>
      <c r="O33" s="4" t="s">
        <v>1443</v>
      </c>
      <c r="P33" s="4" t="s">
        <v>1442</v>
      </c>
      <c r="Q33" s="4" t="s">
        <v>62</v>
      </c>
    </row>
    <row r="34" spans="1:17" ht="28.8" x14ac:dyDescent="0.3">
      <c r="A34" s="7" t="s">
        <v>357</v>
      </c>
      <c r="B34" s="4" t="s">
        <v>1629</v>
      </c>
      <c r="C34" s="4" t="s">
        <v>1630</v>
      </c>
      <c r="D34" s="4" t="s">
        <v>838</v>
      </c>
      <c r="E34" s="4" t="s">
        <v>185</v>
      </c>
      <c r="F34" s="4" t="s">
        <v>1631</v>
      </c>
      <c r="G34" s="4" t="s">
        <v>1632</v>
      </c>
      <c r="H34" s="4" t="s">
        <v>706</v>
      </c>
      <c r="I34" s="4" t="s">
        <v>100</v>
      </c>
      <c r="J34" s="4" t="s">
        <v>1633</v>
      </c>
      <c r="K34" s="4" t="s">
        <v>1634</v>
      </c>
      <c r="L34" s="4" t="s">
        <v>1330</v>
      </c>
      <c r="M34" s="4" t="s">
        <v>100</v>
      </c>
      <c r="N34" s="4" t="s">
        <v>1635</v>
      </c>
      <c r="O34" s="4" t="s">
        <v>1636</v>
      </c>
      <c r="P34" s="4" t="s">
        <v>253</v>
      </c>
      <c r="Q34" s="4" t="s">
        <v>84</v>
      </c>
    </row>
    <row r="35" spans="1:17" ht="28.8" x14ac:dyDescent="0.3">
      <c r="A35" s="7" t="s">
        <v>369</v>
      </c>
      <c r="B35" s="4" t="s">
        <v>1637</v>
      </c>
      <c r="C35" s="4" t="s">
        <v>1638</v>
      </c>
      <c r="D35" s="4" t="s">
        <v>213</v>
      </c>
      <c r="E35" s="4" t="s">
        <v>107</v>
      </c>
      <c r="F35" s="4" t="s">
        <v>1558</v>
      </c>
      <c r="G35" s="4" t="s">
        <v>1639</v>
      </c>
      <c r="H35" s="4" t="s">
        <v>144</v>
      </c>
      <c r="I35" s="4" t="s">
        <v>100</v>
      </c>
      <c r="J35" s="4" t="s">
        <v>1640</v>
      </c>
      <c r="K35" s="4" t="s">
        <v>1641</v>
      </c>
      <c r="L35" s="4" t="s">
        <v>363</v>
      </c>
      <c r="M35" s="4" t="s">
        <v>77</v>
      </c>
      <c r="N35" s="4" t="s">
        <v>1642</v>
      </c>
      <c r="O35" s="4" t="s">
        <v>90</v>
      </c>
      <c r="P35" s="4" t="s">
        <v>838</v>
      </c>
      <c r="Q35" s="4" t="s">
        <v>84</v>
      </c>
    </row>
    <row r="36" spans="1:17" ht="28.8" x14ac:dyDescent="0.3">
      <c r="A36" s="7" t="s">
        <v>378</v>
      </c>
      <c r="B36" s="4" t="s">
        <v>1643</v>
      </c>
      <c r="C36" s="4" t="s">
        <v>1644</v>
      </c>
      <c r="D36" s="4" t="s">
        <v>278</v>
      </c>
      <c r="E36" s="4" t="s">
        <v>1382</v>
      </c>
      <c r="F36" s="4" t="s">
        <v>1645</v>
      </c>
      <c r="G36" s="4" t="s">
        <v>1646</v>
      </c>
      <c r="H36" s="4" t="s">
        <v>331</v>
      </c>
      <c r="I36" s="4" t="s">
        <v>117</v>
      </c>
      <c r="J36" s="4" t="s">
        <v>1647</v>
      </c>
      <c r="K36" s="4" t="s">
        <v>1648</v>
      </c>
      <c r="L36" s="4" t="s">
        <v>331</v>
      </c>
      <c r="M36" s="4" t="s">
        <v>617</v>
      </c>
      <c r="N36" s="4" t="s">
        <v>1649</v>
      </c>
      <c r="O36" s="4" t="s">
        <v>1650</v>
      </c>
      <c r="P36" s="4" t="s">
        <v>457</v>
      </c>
      <c r="Q36" s="4" t="s">
        <v>77</v>
      </c>
    </row>
    <row r="37" spans="1:17" ht="28.8" x14ac:dyDescent="0.3">
      <c r="A37" s="7" t="s">
        <v>390</v>
      </c>
      <c r="B37" s="4" t="s">
        <v>1651</v>
      </c>
      <c r="C37" s="4" t="s">
        <v>1652</v>
      </c>
      <c r="D37" s="4" t="s">
        <v>420</v>
      </c>
      <c r="E37" s="4" t="s">
        <v>1653</v>
      </c>
      <c r="F37" s="4" t="s">
        <v>1654</v>
      </c>
      <c r="G37" s="4" t="s">
        <v>1655</v>
      </c>
      <c r="H37" s="4" t="s">
        <v>1325</v>
      </c>
      <c r="I37" s="4" t="s">
        <v>107</v>
      </c>
      <c r="J37" s="4" t="s">
        <v>1656</v>
      </c>
      <c r="K37" s="4" t="s">
        <v>1657</v>
      </c>
      <c r="L37" s="4" t="s">
        <v>1658</v>
      </c>
      <c r="M37" s="4" t="s">
        <v>407</v>
      </c>
      <c r="N37" s="4" t="s">
        <v>1659</v>
      </c>
      <c r="O37" s="4" t="s">
        <v>1660</v>
      </c>
      <c r="P37" s="4" t="s">
        <v>460</v>
      </c>
      <c r="Q37" s="4" t="s">
        <v>158</v>
      </c>
    </row>
    <row r="38" spans="1:17" ht="28.8" x14ac:dyDescent="0.3">
      <c r="A38" s="7" t="s">
        <v>403</v>
      </c>
      <c r="B38" s="4" t="s">
        <v>1661</v>
      </c>
      <c r="C38" s="4" t="s">
        <v>1662</v>
      </c>
      <c r="D38" s="4" t="s">
        <v>604</v>
      </c>
      <c r="E38" s="4" t="s">
        <v>1418</v>
      </c>
      <c r="F38" s="4" t="s">
        <v>1663</v>
      </c>
      <c r="G38" s="4" t="s">
        <v>1664</v>
      </c>
      <c r="H38" s="4" t="s">
        <v>304</v>
      </c>
      <c r="I38" s="4" t="s">
        <v>407</v>
      </c>
      <c r="J38" s="4" t="s">
        <v>1665</v>
      </c>
      <c r="K38" s="4" t="s">
        <v>1666</v>
      </c>
      <c r="L38" s="4" t="s">
        <v>1667</v>
      </c>
      <c r="M38" s="4" t="s">
        <v>591</v>
      </c>
      <c r="N38" s="4" t="s">
        <v>1668</v>
      </c>
      <c r="O38" s="4" t="s">
        <v>1669</v>
      </c>
      <c r="P38" s="4" t="s">
        <v>1658</v>
      </c>
      <c r="Q38" s="4" t="s">
        <v>185</v>
      </c>
    </row>
    <row r="39" spans="1:17" ht="28.8" x14ac:dyDescent="0.3">
      <c r="A39" s="7" t="s">
        <v>417</v>
      </c>
      <c r="B39" s="4" t="s">
        <v>1670</v>
      </c>
      <c r="C39" s="4" t="s">
        <v>1671</v>
      </c>
      <c r="D39" s="4" t="s">
        <v>1224</v>
      </c>
      <c r="E39" s="4" t="s">
        <v>1058</v>
      </c>
      <c r="F39" s="4" t="s">
        <v>1672</v>
      </c>
      <c r="G39" s="4" t="s">
        <v>1673</v>
      </c>
      <c r="H39" s="4" t="s">
        <v>1674</v>
      </c>
      <c r="I39" s="4" t="s">
        <v>664</v>
      </c>
      <c r="J39" s="4" t="s">
        <v>1675</v>
      </c>
      <c r="K39" s="4" t="s">
        <v>1676</v>
      </c>
      <c r="L39" s="4" t="s">
        <v>410</v>
      </c>
      <c r="M39" s="4" t="s">
        <v>664</v>
      </c>
      <c r="N39" s="4" t="s">
        <v>1677</v>
      </c>
      <c r="O39" s="4" t="s">
        <v>1678</v>
      </c>
      <c r="P39" s="4" t="s">
        <v>416</v>
      </c>
      <c r="Q39" s="4" t="s">
        <v>158</v>
      </c>
    </row>
    <row r="40" spans="1:17" ht="28.8" x14ac:dyDescent="0.3">
      <c r="A40" s="7" t="s">
        <v>427</v>
      </c>
      <c r="B40" s="4" t="s">
        <v>1679</v>
      </c>
      <c r="C40" s="4" t="s">
        <v>1680</v>
      </c>
      <c r="D40" s="4" t="s">
        <v>1240</v>
      </c>
      <c r="E40" s="4" t="s">
        <v>1382</v>
      </c>
      <c r="F40" s="4" t="s">
        <v>1681</v>
      </c>
      <c r="G40" s="4" t="s">
        <v>1682</v>
      </c>
      <c r="H40" s="4" t="s">
        <v>522</v>
      </c>
      <c r="I40" s="4" t="s">
        <v>73</v>
      </c>
      <c r="J40" s="4" t="s">
        <v>1683</v>
      </c>
      <c r="K40" s="4" t="s">
        <v>1684</v>
      </c>
      <c r="L40" s="4" t="s">
        <v>436</v>
      </c>
      <c r="M40" s="4" t="s">
        <v>117</v>
      </c>
      <c r="N40" s="4" t="s">
        <v>1685</v>
      </c>
      <c r="O40" s="4" t="s">
        <v>1686</v>
      </c>
      <c r="P40" s="4" t="s">
        <v>433</v>
      </c>
      <c r="Q40" s="4" t="s">
        <v>77</v>
      </c>
    </row>
    <row r="41" spans="1:17" ht="28.8" x14ac:dyDescent="0.3">
      <c r="A41" s="7" t="s">
        <v>440</v>
      </c>
      <c r="B41" s="4" t="s">
        <v>1687</v>
      </c>
      <c r="C41" s="4" t="s">
        <v>1688</v>
      </c>
      <c r="D41" s="4" t="s">
        <v>1041</v>
      </c>
      <c r="E41" s="4" t="s">
        <v>107</v>
      </c>
      <c r="F41" s="4" t="s">
        <v>1689</v>
      </c>
      <c r="G41" s="4" t="s">
        <v>1690</v>
      </c>
      <c r="H41" s="4" t="s">
        <v>383</v>
      </c>
      <c r="I41" s="4" t="s">
        <v>158</v>
      </c>
      <c r="J41" s="4" t="s">
        <v>1691</v>
      </c>
      <c r="K41" s="4" t="s">
        <v>1692</v>
      </c>
      <c r="L41" s="4" t="s">
        <v>487</v>
      </c>
      <c r="M41" s="4" t="s">
        <v>158</v>
      </c>
      <c r="N41" s="4" t="s">
        <v>1693</v>
      </c>
      <c r="O41" s="4" t="s">
        <v>1694</v>
      </c>
      <c r="P41" s="4" t="s">
        <v>1695</v>
      </c>
      <c r="Q41" s="4" t="s">
        <v>109</v>
      </c>
    </row>
    <row r="42" spans="1:17" ht="57.6" x14ac:dyDescent="0.3">
      <c r="A42" s="7" t="s">
        <v>451</v>
      </c>
      <c r="B42" s="4" t="s">
        <v>1696</v>
      </c>
      <c r="C42" s="4" t="s">
        <v>1697</v>
      </c>
      <c r="D42" s="4" t="s">
        <v>200</v>
      </c>
      <c r="E42" s="4" t="s">
        <v>591</v>
      </c>
      <c r="F42" s="4" t="s">
        <v>1698</v>
      </c>
      <c r="G42" s="4" t="s">
        <v>1699</v>
      </c>
      <c r="H42" s="4" t="s">
        <v>1041</v>
      </c>
      <c r="I42" s="4" t="s">
        <v>158</v>
      </c>
      <c r="J42" s="4" t="s">
        <v>1700</v>
      </c>
      <c r="K42" s="4" t="s">
        <v>1701</v>
      </c>
      <c r="L42" s="4" t="s">
        <v>171</v>
      </c>
      <c r="M42" s="4" t="s">
        <v>73</v>
      </c>
      <c r="N42" s="4" t="s">
        <v>1702</v>
      </c>
      <c r="O42" s="4" t="s">
        <v>1703</v>
      </c>
      <c r="P42" s="4" t="s">
        <v>1704</v>
      </c>
      <c r="Q42" s="4" t="s">
        <v>100</v>
      </c>
    </row>
    <row r="43" spans="1:17" ht="43.2" x14ac:dyDescent="0.3">
      <c r="A43" s="7" t="s">
        <v>461</v>
      </c>
      <c r="B43" s="4" t="s">
        <v>462</v>
      </c>
      <c r="C43" s="4" t="s">
        <v>103</v>
      </c>
      <c r="D43" s="4" t="s">
        <v>62</v>
      </c>
      <c r="E43" s="4" t="s">
        <v>62</v>
      </c>
      <c r="F43" s="4" t="s">
        <v>1705</v>
      </c>
      <c r="G43" s="4" t="s">
        <v>153</v>
      </c>
      <c r="H43" s="4" t="s">
        <v>62</v>
      </c>
      <c r="I43" s="4" t="s">
        <v>62</v>
      </c>
      <c r="J43" s="4" t="s">
        <v>462</v>
      </c>
      <c r="K43" s="4" t="s">
        <v>103</v>
      </c>
      <c r="L43" s="4" t="s">
        <v>62</v>
      </c>
      <c r="M43" s="4" t="s">
        <v>62</v>
      </c>
      <c r="N43" s="4" t="s">
        <v>464</v>
      </c>
      <c r="O43" s="4" t="s">
        <v>153</v>
      </c>
      <c r="P43" s="4" t="s">
        <v>62</v>
      </c>
      <c r="Q43" s="4" t="s">
        <v>62</v>
      </c>
    </row>
    <row r="44" spans="1:17" ht="28.8" x14ac:dyDescent="0.3">
      <c r="A44" s="4" t="s">
        <v>465</v>
      </c>
      <c r="B44" s="4"/>
      <c r="C44" s="4"/>
      <c r="D44" s="4"/>
      <c r="E44" s="4"/>
      <c r="F44" s="4"/>
      <c r="G44" s="4"/>
      <c r="H44" s="4"/>
      <c r="I44" s="4"/>
      <c r="J44" s="4"/>
      <c r="K44" s="4"/>
      <c r="L44" s="4"/>
      <c r="M44" s="4"/>
      <c r="N44" s="4"/>
      <c r="O44" s="4"/>
      <c r="P44" s="4"/>
      <c r="Q44" s="4"/>
    </row>
    <row r="45" spans="1:17" ht="43.2" x14ac:dyDescent="0.3">
      <c r="A45" s="6" t="s">
        <v>59</v>
      </c>
      <c r="B45" s="4" t="s">
        <v>1436</v>
      </c>
      <c r="C45" s="4" t="s">
        <v>1437</v>
      </c>
      <c r="D45" s="4" t="s">
        <v>1436</v>
      </c>
      <c r="E45" s="4" t="s">
        <v>62</v>
      </c>
      <c r="F45" s="4" t="s">
        <v>1438</v>
      </c>
      <c r="G45" s="4" t="s">
        <v>1439</v>
      </c>
      <c r="H45" s="4" t="s">
        <v>1438</v>
      </c>
      <c r="I45" s="4" t="s">
        <v>62</v>
      </c>
      <c r="J45" s="4" t="s">
        <v>1440</v>
      </c>
      <c r="K45" s="4" t="s">
        <v>1441</v>
      </c>
      <c r="L45" s="4" t="s">
        <v>1440</v>
      </c>
      <c r="M45" s="4" t="s">
        <v>62</v>
      </c>
      <c r="N45" s="4" t="s">
        <v>1442</v>
      </c>
      <c r="O45" s="4" t="s">
        <v>1443</v>
      </c>
      <c r="P45" s="4" t="s">
        <v>1442</v>
      </c>
      <c r="Q45" s="4" t="s">
        <v>62</v>
      </c>
    </row>
    <row r="46" spans="1:17" ht="43.2" x14ac:dyDescent="0.3">
      <c r="A46" s="7" t="s">
        <v>466</v>
      </c>
      <c r="B46" s="4" t="s">
        <v>1706</v>
      </c>
      <c r="C46" s="4" t="s">
        <v>1707</v>
      </c>
      <c r="D46" s="4" t="s">
        <v>706</v>
      </c>
      <c r="E46" s="4" t="s">
        <v>73</v>
      </c>
      <c r="F46" s="4" t="s">
        <v>1708</v>
      </c>
      <c r="G46" s="4" t="s">
        <v>1709</v>
      </c>
      <c r="H46" s="4" t="s">
        <v>219</v>
      </c>
      <c r="I46" s="4" t="s">
        <v>100</v>
      </c>
      <c r="J46" s="4" t="s">
        <v>1710</v>
      </c>
      <c r="K46" s="4" t="s">
        <v>1711</v>
      </c>
      <c r="L46" s="4" t="s">
        <v>1330</v>
      </c>
      <c r="M46" s="4" t="s">
        <v>100</v>
      </c>
      <c r="N46" s="4" t="s">
        <v>1712</v>
      </c>
      <c r="O46" s="4" t="s">
        <v>1713</v>
      </c>
      <c r="P46" s="4" t="s">
        <v>240</v>
      </c>
      <c r="Q46" s="4" t="s">
        <v>84</v>
      </c>
    </row>
    <row r="47" spans="1:17" ht="43.2" x14ac:dyDescent="0.3">
      <c r="A47" s="7" t="s">
        <v>477</v>
      </c>
      <c r="B47" s="4" t="s">
        <v>1714</v>
      </c>
      <c r="C47" s="4" t="s">
        <v>1715</v>
      </c>
      <c r="D47" s="4" t="s">
        <v>1704</v>
      </c>
      <c r="E47" s="4" t="s">
        <v>1144</v>
      </c>
      <c r="F47" s="4" t="s">
        <v>1716</v>
      </c>
      <c r="G47" s="4" t="s">
        <v>1717</v>
      </c>
      <c r="H47" s="4" t="s">
        <v>450</v>
      </c>
      <c r="I47" s="4" t="s">
        <v>117</v>
      </c>
      <c r="J47" s="4" t="s">
        <v>1718</v>
      </c>
      <c r="K47" s="4" t="s">
        <v>1719</v>
      </c>
      <c r="L47" s="4" t="s">
        <v>1720</v>
      </c>
      <c r="M47" s="4" t="s">
        <v>117</v>
      </c>
      <c r="N47" s="4" t="s">
        <v>1721</v>
      </c>
      <c r="O47" s="4" t="s">
        <v>1722</v>
      </c>
      <c r="P47" s="4" t="s">
        <v>640</v>
      </c>
      <c r="Q47" s="4" t="s">
        <v>100</v>
      </c>
    </row>
    <row r="48" spans="1:17" ht="43.2" x14ac:dyDescent="0.3">
      <c r="A48" s="7" t="s">
        <v>488</v>
      </c>
      <c r="B48" s="4" t="s">
        <v>1723</v>
      </c>
      <c r="C48" s="4" t="s">
        <v>1724</v>
      </c>
      <c r="D48" s="4" t="s">
        <v>1102</v>
      </c>
      <c r="E48" s="4" t="s">
        <v>1725</v>
      </c>
      <c r="F48" s="4" t="s">
        <v>1726</v>
      </c>
      <c r="G48" s="4" t="s">
        <v>1727</v>
      </c>
      <c r="H48" s="4" t="s">
        <v>1728</v>
      </c>
      <c r="I48" s="4" t="s">
        <v>107</v>
      </c>
      <c r="J48" s="4" t="s">
        <v>1729</v>
      </c>
      <c r="K48" s="4" t="s">
        <v>1730</v>
      </c>
      <c r="L48" s="4" t="s">
        <v>1077</v>
      </c>
      <c r="M48" s="4" t="s">
        <v>591</v>
      </c>
      <c r="N48" s="4" t="s">
        <v>1731</v>
      </c>
      <c r="O48" s="4" t="s">
        <v>1732</v>
      </c>
      <c r="P48" s="4" t="s">
        <v>1667</v>
      </c>
      <c r="Q48" s="4" t="s">
        <v>185</v>
      </c>
    </row>
    <row r="49" spans="1:17" ht="43.2" x14ac:dyDescent="0.3">
      <c r="A49" s="7" t="s">
        <v>501</v>
      </c>
      <c r="B49" s="4" t="s">
        <v>1733</v>
      </c>
      <c r="C49" s="4" t="s">
        <v>1734</v>
      </c>
      <c r="D49" s="4" t="s">
        <v>1427</v>
      </c>
      <c r="E49" s="4" t="s">
        <v>1245</v>
      </c>
      <c r="F49" s="4" t="s">
        <v>1735</v>
      </c>
      <c r="G49" s="4" t="s">
        <v>1736</v>
      </c>
      <c r="H49" s="4" t="s">
        <v>1315</v>
      </c>
      <c r="I49" s="4" t="s">
        <v>664</v>
      </c>
      <c r="J49" s="4" t="s">
        <v>1737</v>
      </c>
      <c r="K49" s="4" t="s">
        <v>1738</v>
      </c>
      <c r="L49" s="4" t="s">
        <v>1739</v>
      </c>
      <c r="M49" s="4" t="s">
        <v>1382</v>
      </c>
      <c r="N49" s="4" t="s">
        <v>1740</v>
      </c>
      <c r="O49" s="4" t="s">
        <v>1741</v>
      </c>
      <c r="P49" s="4" t="s">
        <v>1742</v>
      </c>
      <c r="Q49" s="4" t="s">
        <v>185</v>
      </c>
    </row>
    <row r="50" spans="1:17" ht="43.2" x14ac:dyDescent="0.3">
      <c r="A50" s="7" t="s">
        <v>514</v>
      </c>
      <c r="B50" s="4" t="s">
        <v>1743</v>
      </c>
      <c r="C50" s="4" t="s">
        <v>1744</v>
      </c>
      <c r="D50" s="4" t="s">
        <v>1381</v>
      </c>
      <c r="E50" s="4" t="s">
        <v>946</v>
      </c>
      <c r="F50" s="4" t="s">
        <v>1745</v>
      </c>
      <c r="G50" s="4" t="s">
        <v>1746</v>
      </c>
      <c r="H50" s="4" t="s">
        <v>519</v>
      </c>
      <c r="I50" s="4" t="s">
        <v>73</v>
      </c>
      <c r="J50" s="4" t="s">
        <v>1747</v>
      </c>
      <c r="K50" s="4" t="s">
        <v>1748</v>
      </c>
      <c r="L50" s="4" t="s">
        <v>272</v>
      </c>
      <c r="M50" s="4" t="s">
        <v>617</v>
      </c>
      <c r="N50" s="4" t="s">
        <v>1749</v>
      </c>
      <c r="O50" s="4" t="s">
        <v>1750</v>
      </c>
      <c r="P50" s="4" t="s">
        <v>1751</v>
      </c>
      <c r="Q50" s="4" t="s">
        <v>109</v>
      </c>
    </row>
    <row r="51" spans="1:17" ht="57.6" x14ac:dyDescent="0.3">
      <c r="A51" s="7" t="s">
        <v>526</v>
      </c>
      <c r="B51" s="4" t="s">
        <v>1752</v>
      </c>
      <c r="C51" s="4" t="s">
        <v>1753</v>
      </c>
      <c r="D51" s="4" t="s">
        <v>469</v>
      </c>
      <c r="E51" s="4" t="s">
        <v>185</v>
      </c>
      <c r="F51" s="4" t="s">
        <v>1754</v>
      </c>
      <c r="G51" s="4" t="s">
        <v>1755</v>
      </c>
      <c r="H51" s="4" t="s">
        <v>1034</v>
      </c>
      <c r="I51" s="4" t="s">
        <v>77</v>
      </c>
      <c r="J51" s="4" t="s">
        <v>1756</v>
      </c>
      <c r="K51" s="4" t="s">
        <v>1757</v>
      </c>
      <c r="L51" s="4" t="s">
        <v>373</v>
      </c>
      <c r="M51" s="4" t="s">
        <v>100</v>
      </c>
      <c r="N51" s="4" t="s">
        <v>1758</v>
      </c>
      <c r="O51" s="4" t="s">
        <v>1759</v>
      </c>
      <c r="P51" s="4" t="s">
        <v>1760</v>
      </c>
      <c r="Q51" s="4" t="s">
        <v>77</v>
      </c>
    </row>
    <row r="52" spans="1:17" ht="28.8" x14ac:dyDescent="0.3">
      <c r="A52" s="4" t="s">
        <v>535</v>
      </c>
      <c r="B52" s="4"/>
      <c r="C52" s="4"/>
      <c r="D52" s="4"/>
      <c r="E52" s="4"/>
      <c r="F52" s="4"/>
      <c r="G52" s="4"/>
      <c r="H52" s="4"/>
      <c r="I52" s="4"/>
      <c r="J52" s="4"/>
      <c r="K52" s="4"/>
      <c r="L52" s="4"/>
      <c r="M52" s="4"/>
      <c r="N52" s="4"/>
      <c r="O52" s="4"/>
      <c r="P52" s="4"/>
      <c r="Q52" s="4"/>
    </row>
    <row r="53" spans="1:17" ht="57.6" x14ac:dyDescent="0.3">
      <c r="A53" s="6" t="s">
        <v>69</v>
      </c>
      <c r="B53" s="4" t="s">
        <v>1444</v>
      </c>
      <c r="C53" s="4" t="s">
        <v>1445</v>
      </c>
      <c r="D53" s="4" t="s">
        <v>1444</v>
      </c>
      <c r="E53" s="4" t="s">
        <v>62</v>
      </c>
      <c r="F53" s="4" t="s">
        <v>1446</v>
      </c>
      <c r="G53" s="4" t="s">
        <v>1447</v>
      </c>
      <c r="H53" s="4" t="s">
        <v>1446</v>
      </c>
      <c r="I53" s="4" t="s">
        <v>62</v>
      </c>
      <c r="J53" s="4" t="s">
        <v>1449</v>
      </c>
      <c r="K53" s="4" t="s">
        <v>1450</v>
      </c>
      <c r="L53" s="4" t="s">
        <v>1449</v>
      </c>
      <c r="M53" s="4" t="s">
        <v>62</v>
      </c>
      <c r="N53" s="4" t="s">
        <v>1452</v>
      </c>
      <c r="O53" s="4" t="s">
        <v>1453</v>
      </c>
      <c r="P53" s="4" t="s">
        <v>1452</v>
      </c>
      <c r="Q53" s="4" t="s">
        <v>62</v>
      </c>
    </row>
    <row r="54" spans="1:17" ht="57.6" x14ac:dyDescent="0.3">
      <c r="A54" s="7" t="s">
        <v>536</v>
      </c>
      <c r="B54" s="4" t="s">
        <v>1761</v>
      </c>
      <c r="C54" s="4" t="s">
        <v>1762</v>
      </c>
      <c r="D54" s="4" t="s">
        <v>1763</v>
      </c>
      <c r="E54" s="4" t="s">
        <v>1070</v>
      </c>
      <c r="F54" s="4" t="s">
        <v>1764</v>
      </c>
      <c r="G54" s="4" t="s">
        <v>1765</v>
      </c>
      <c r="H54" s="4" t="s">
        <v>1766</v>
      </c>
      <c r="I54" s="4" t="s">
        <v>664</v>
      </c>
      <c r="J54" s="4" t="s">
        <v>1767</v>
      </c>
      <c r="K54" s="4" t="s">
        <v>1768</v>
      </c>
      <c r="L54" s="4" t="s">
        <v>1769</v>
      </c>
      <c r="M54" s="4" t="s">
        <v>107</v>
      </c>
      <c r="N54" s="4" t="s">
        <v>1770</v>
      </c>
      <c r="O54" s="4" t="s">
        <v>1771</v>
      </c>
      <c r="P54" s="4" t="s">
        <v>1772</v>
      </c>
      <c r="Q54" s="4" t="s">
        <v>73</v>
      </c>
    </row>
    <row r="55" spans="1:17" ht="57.6" x14ac:dyDescent="0.3">
      <c r="A55" s="7" t="s">
        <v>549</v>
      </c>
      <c r="B55" s="4" t="s">
        <v>1773</v>
      </c>
      <c r="C55" s="4" t="s">
        <v>1774</v>
      </c>
      <c r="D55" s="4" t="s">
        <v>1775</v>
      </c>
      <c r="E55" s="4" t="s">
        <v>1070</v>
      </c>
      <c r="F55" s="4" t="s">
        <v>1776</v>
      </c>
      <c r="G55" s="4" t="s">
        <v>1777</v>
      </c>
      <c r="H55" s="4" t="s">
        <v>1778</v>
      </c>
      <c r="I55" s="4" t="s">
        <v>664</v>
      </c>
      <c r="J55" s="4" t="s">
        <v>1779</v>
      </c>
      <c r="K55" s="4" t="s">
        <v>1447</v>
      </c>
      <c r="L55" s="4" t="s">
        <v>1780</v>
      </c>
      <c r="M55" s="4" t="s">
        <v>107</v>
      </c>
      <c r="N55" s="4" t="s">
        <v>1781</v>
      </c>
      <c r="O55" s="4" t="s">
        <v>1782</v>
      </c>
      <c r="P55" s="4" t="s">
        <v>999</v>
      </c>
      <c r="Q55" s="4" t="s">
        <v>73</v>
      </c>
    </row>
    <row r="56" spans="1:17" ht="129.6" x14ac:dyDescent="0.3">
      <c r="A56" s="7" t="s">
        <v>562</v>
      </c>
      <c r="B56" s="4" t="s">
        <v>1783</v>
      </c>
      <c r="C56" s="4" t="s">
        <v>1784</v>
      </c>
      <c r="D56" s="4" t="s">
        <v>62</v>
      </c>
      <c r="E56" s="4" t="s">
        <v>62</v>
      </c>
      <c r="F56" s="4" t="s">
        <v>1785</v>
      </c>
      <c r="G56" s="4" t="s">
        <v>564</v>
      </c>
      <c r="H56" s="4" t="s">
        <v>62</v>
      </c>
      <c r="I56" s="4" t="s">
        <v>62</v>
      </c>
      <c r="J56" s="4" t="s">
        <v>1786</v>
      </c>
      <c r="K56" s="4" t="s">
        <v>1787</v>
      </c>
      <c r="L56" s="4" t="s">
        <v>62</v>
      </c>
      <c r="M56" s="4" t="s">
        <v>62</v>
      </c>
      <c r="N56" s="4" t="s">
        <v>1785</v>
      </c>
      <c r="O56" s="4" t="s">
        <v>566</v>
      </c>
      <c r="P56" s="4" t="s">
        <v>62</v>
      </c>
      <c r="Q56" s="4" t="s">
        <v>62</v>
      </c>
    </row>
    <row r="57" spans="1:17" ht="129.6" x14ac:dyDescent="0.3">
      <c r="A57" s="7" t="s">
        <v>571</v>
      </c>
      <c r="B57" s="4" t="s">
        <v>1788</v>
      </c>
      <c r="C57" s="4" t="s">
        <v>1789</v>
      </c>
      <c r="D57" s="4" t="s">
        <v>62</v>
      </c>
      <c r="E57" s="4" t="s">
        <v>62</v>
      </c>
      <c r="F57" s="4" t="s">
        <v>1790</v>
      </c>
      <c r="G57" s="4" t="s">
        <v>1791</v>
      </c>
      <c r="H57" s="4" t="s">
        <v>62</v>
      </c>
      <c r="I57" s="4" t="s">
        <v>62</v>
      </c>
      <c r="J57" s="4" t="s">
        <v>1792</v>
      </c>
      <c r="K57" s="4" t="s">
        <v>1793</v>
      </c>
      <c r="L57" s="4" t="s">
        <v>62</v>
      </c>
      <c r="M57" s="4" t="s">
        <v>62</v>
      </c>
      <c r="N57" s="4" t="s">
        <v>1794</v>
      </c>
      <c r="O57" s="4" t="s">
        <v>564</v>
      </c>
      <c r="P57" s="4" t="s">
        <v>62</v>
      </c>
      <c r="Q57" s="4" t="s">
        <v>62</v>
      </c>
    </row>
    <row r="58" spans="1:17" ht="86.4" x14ac:dyDescent="0.3">
      <c r="A58" s="4" t="s">
        <v>576</v>
      </c>
      <c r="B58" s="4"/>
      <c r="C58" s="4"/>
      <c r="D58" s="4"/>
      <c r="E58" s="4"/>
      <c r="F58" s="4"/>
      <c r="G58" s="4"/>
      <c r="H58" s="4"/>
      <c r="I58" s="4"/>
      <c r="J58" s="4"/>
      <c r="K58" s="4"/>
      <c r="L58" s="4"/>
      <c r="M58" s="4"/>
      <c r="N58" s="4"/>
      <c r="O58" s="4"/>
      <c r="P58" s="4"/>
      <c r="Q58" s="4"/>
    </row>
    <row r="59" spans="1:17" ht="57.6" x14ac:dyDescent="0.3">
      <c r="A59" s="6" t="s">
        <v>69</v>
      </c>
      <c r="B59" s="4" t="s">
        <v>1444</v>
      </c>
      <c r="C59" s="4" t="s">
        <v>1445</v>
      </c>
      <c r="D59" s="4" t="s">
        <v>1444</v>
      </c>
      <c r="E59" s="4" t="s">
        <v>62</v>
      </c>
      <c r="F59" s="4" t="s">
        <v>1446</v>
      </c>
      <c r="G59" s="4" t="s">
        <v>1447</v>
      </c>
      <c r="H59" s="4" t="s">
        <v>1446</v>
      </c>
      <c r="I59" s="4" t="s">
        <v>62</v>
      </c>
      <c r="J59" s="4" t="s">
        <v>1449</v>
      </c>
      <c r="K59" s="4" t="s">
        <v>1450</v>
      </c>
      <c r="L59" s="4" t="s">
        <v>1449</v>
      </c>
      <c r="M59" s="4" t="s">
        <v>62</v>
      </c>
      <c r="N59" s="4" t="s">
        <v>1452</v>
      </c>
      <c r="O59" s="4" t="s">
        <v>1453</v>
      </c>
      <c r="P59" s="4" t="s">
        <v>1452</v>
      </c>
      <c r="Q59" s="4" t="s">
        <v>62</v>
      </c>
    </row>
    <row r="60" spans="1:17" ht="72" x14ac:dyDescent="0.3">
      <c r="A60" s="7" t="s">
        <v>1795</v>
      </c>
      <c r="B60" s="4" t="s">
        <v>1796</v>
      </c>
      <c r="C60" s="4" t="s">
        <v>1797</v>
      </c>
      <c r="D60" s="4" t="s">
        <v>1798</v>
      </c>
      <c r="E60" s="4" t="s">
        <v>1799</v>
      </c>
      <c r="F60" s="4" t="s">
        <v>1800</v>
      </c>
      <c r="G60" s="4" t="s">
        <v>1801</v>
      </c>
      <c r="H60" s="4" t="s">
        <v>1802</v>
      </c>
      <c r="I60" s="4" t="s">
        <v>591</v>
      </c>
      <c r="J60" s="4" t="s">
        <v>1803</v>
      </c>
      <c r="K60" s="4" t="s">
        <v>1804</v>
      </c>
      <c r="L60" s="4" t="s">
        <v>1667</v>
      </c>
      <c r="M60" s="4" t="s">
        <v>591</v>
      </c>
      <c r="N60" s="4" t="s">
        <v>1805</v>
      </c>
      <c r="O60" s="4" t="s">
        <v>1806</v>
      </c>
      <c r="P60" s="4" t="s">
        <v>328</v>
      </c>
      <c r="Q60" s="4" t="s">
        <v>158</v>
      </c>
    </row>
    <row r="61" spans="1:17" ht="72" x14ac:dyDescent="0.3">
      <c r="A61" s="7" t="s">
        <v>1807</v>
      </c>
      <c r="B61" s="4" t="s">
        <v>1808</v>
      </c>
      <c r="C61" s="4" t="s">
        <v>1809</v>
      </c>
      <c r="D61" s="4" t="s">
        <v>1810</v>
      </c>
      <c r="E61" s="4" t="s">
        <v>1725</v>
      </c>
      <c r="F61" s="4" t="s">
        <v>1811</v>
      </c>
      <c r="G61" s="4" t="s">
        <v>1812</v>
      </c>
      <c r="H61" s="4" t="s">
        <v>1813</v>
      </c>
      <c r="I61" s="4" t="s">
        <v>107</v>
      </c>
      <c r="J61" s="4" t="s">
        <v>1814</v>
      </c>
      <c r="K61" s="4" t="s">
        <v>1815</v>
      </c>
      <c r="L61" s="4" t="s">
        <v>1008</v>
      </c>
      <c r="M61" s="4" t="s">
        <v>1382</v>
      </c>
      <c r="N61" s="4" t="s">
        <v>1816</v>
      </c>
      <c r="O61" s="4" t="s">
        <v>1817</v>
      </c>
      <c r="P61" s="4" t="s">
        <v>1728</v>
      </c>
      <c r="Q61" s="4" t="s">
        <v>158</v>
      </c>
    </row>
    <row r="62" spans="1:17" ht="72" x14ac:dyDescent="0.3">
      <c r="A62" s="7" t="s">
        <v>1818</v>
      </c>
      <c r="B62" s="4" t="s">
        <v>1819</v>
      </c>
      <c r="C62" s="4" t="s">
        <v>1820</v>
      </c>
      <c r="D62" s="4" t="s">
        <v>491</v>
      </c>
      <c r="E62" s="4" t="s">
        <v>1245</v>
      </c>
      <c r="F62" s="4" t="s">
        <v>1821</v>
      </c>
      <c r="G62" s="4" t="s">
        <v>1822</v>
      </c>
      <c r="H62" s="4" t="s">
        <v>1823</v>
      </c>
      <c r="I62" s="4" t="s">
        <v>1074</v>
      </c>
      <c r="J62" s="4" t="s">
        <v>1824</v>
      </c>
      <c r="K62" s="4" t="s">
        <v>1825</v>
      </c>
      <c r="L62" s="4" t="s">
        <v>1826</v>
      </c>
      <c r="M62" s="4" t="s">
        <v>1074</v>
      </c>
      <c r="N62" s="4" t="s">
        <v>1827</v>
      </c>
      <c r="O62" s="4" t="s">
        <v>1828</v>
      </c>
      <c r="P62" s="4" t="s">
        <v>1829</v>
      </c>
      <c r="Q62" s="4" t="s">
        <v>185</v>
      </c>
    </row>
    <row r="63" spans="1:17" ht="72" x14ac:dyDescent="0.3">
      <c r="A63" s="7" t="s">
        <v>613</v>
      </c>
      <c r="B63" s="4" t="s">
        <v>1830</v>
      </c>
      <c r="C63" s="4" t="s">
        <v>1831</v>
      </c>
      <c r="D63" s="4" t="s">
        <v>140</v>
      </c>
      <c r="E63" s="4" t="s">
        <v>946</v>
      </c>
      <c r="F63" s="4" t="s">
        <v>1832</v>
      </c>
      <c r="G63" s="4" t="s">
        <v>1833</v>
      </c>
      <c r="H63" s="4" t="s">
        <v>1389</v>
      </c>
      <c r="I63" s="4" t="s">
        <v>73</v>
      </c>
      <c r="J63" s="4" t="s">
        <v>1834</v>
      </c>
      <c r="K63" s="4" t="s">
        <v>1835</v>
      </c>
      <c r="L63" s="4" t="s">
        <v>430</v>
      </c>
      <c r="M63" s="4" t="s">
        <v>617</v>
      </c>
      <c r="N63" s="4" t="s">
        <v>1836</v>
      </c>
      <c r="O63" s="4" t="s">
        <v>1837</v>
      </c>
      <c r="P63" s="4" t="s">
        <v>1389</v>
      </c>
      <c r="Q63" s="4" t="s">
        <v>100</v>
      </c>
    </row>
    <row r="64" spans="1:17" ht="72" x14ac:dyDescent="0.3">
      <c r="A64" s="7" t="s">
        <v>626</v>
      </c>
      <c r="B64" s="4" t="s">
        <v>1838</v>
      </c>
      <c r="C64" s="4" t="s">
        <v>1839</v>
      </c>
      <c r="D64" s="4" t="s">
        <v>1533</v>
      </c>
      <c r="E64" s="4" t="s">
        <v>407</v>
      </c>
      <c r="F64" s="4" t="s">
        <v>1840</v>
      </c>
      <c r="G64" s="4" t="s">
        <v>1841</v>
      </c>
      <c r="H64" s="4" t="s">
        <v>442</v>
      </c>
      <c r="I64" s="4" t="s">
        <v>100</v>
      </c>
      <c r="J64" s="4" t="s">
        <v>1842</v>
      </c>
      <c r="K64" s="4" t="s">
        <v>1843</v>
      </c>
      <c r="L64" s="4" t="s">
        <v>1022</v>
      </c>
      <c r="M64" s="4" t="s">
        <v>185</v>
      </c>
      <c r="N64" s="4" t="s">
        <v>1844</v>
      </c>
      <c r="O64" s="4" t="s">
        <v>1845</v>
      </c>
      <c r="P64" s="4" t="s">
        <v>184</v>
      </c>
      <c r="Q64" s="4" t="s">
        <v>77</v>
      </c>
    </row>
    <row r="65" spans="1:17" ht="72" x14ac:dyDescent="0.3">
      <c r="A65" s="7" t="s">
        <v>637</v>
      </c>
      <c r="B65" s="4" t="s">
        <v>1846</v>
      </c>
      <c r="C65" s="4" t="s">
        <v>1847</v>
      </c>
      <c r="D65" s="4" t="s">
        <v>1848</v>
      </c>
      <c r="E65" s="4" t="s">
        <v>617</v>
      </c>
      <c r="F65" s="4" t="s">
        <v>1849</v>
      </c>
      <c r="G65" s="4" t="s">
        <v>1850</v>
      </c>
      <c r="H65" s="4" t="s">
        <v>355</v>
      </c>
      <c r="I65" s="4" t="s">
        <v>77</v>
      </c>
      <c r="J65" s="4" t="s">
        <v>1851</v>
      </c>
      <c r="K65" s="4" t="s">
        <v>1852</v>
      </c>
      <c r="L65" s="4" t="s">
        <v>188</v>
      </c>
      <c r="M65" s="4" t="s">
        <v>185</v>
      </c>
      <c r="N65" s="4" t="s">
        <v>1853</v>
      </c>
      <c r="O65" s="4" t="s">
        <v>1854</v>
      </c>
      <c r="P65" s="4" t="s">
        <v>184</v>
      </c>
      <c r="Q65" s="4" t="s">
        <v>77</v>
      </c>
    </row>
    <row r="66" spans="1:17" ht="43.2" x14ac:dyDescent="0.3">
      <c r="A66" s="4" t="s">
        <v>649</v>
      </c>
      <c r="B66" s="4"/>
      <c r="C66" s="4"/>
      <c r="D66" s="4"/>
      <c r="E66" s="4"/>
      <c r="F66" s="4"/>
      <c r="G66" s="4"/>
      <c r="H66" s="4"/>
      <c r="I66" s="4"/>
      <c r="J66" s="4"/>
      <c r="K66" s="4"/>
      <c r="L66" s="4"/>
      <c r="M66" s="4"/>
      <c r="N66" s="4"/>
      <c r="O66" s="4"/>
      <c r="P66" s="4"/>
      <c r="Q66" s="4"/>
    </row>
    <row r="67" spans="1:17" ht="57.6" x14ac:dyDescent="0.3">
      <c r="A67" s="6" t="s">
        <v>69</v>
      </c>
      <c r="B67" s="4" t="s">
        <v>1444</v>
      </c>
      <c r="C67" s="4" t="s">
        <v>1445</v>
      </c>
      <c r="D67" s="4" t="s">
        <v>1444</v>
      </c>
      <c r="E67" s="4" t="s">
        <v>62</v>
      </c>
      <c r="F67" s="4" t="s">
        <v>1446</v>
      </c>
      <c r="G67" s="4" t="s">
        <v>1447</v>
      </c>
      <c r="H67" s="4" t="s">
        <v>1446</v>
      </c>
      <c r="I67" s="4" t="s">
        <v>62</v>
      </c>
      <c r="J67" s="4" t="s">
        <v>1449</v>
      </c>
      <c r="K67" s="4" t="s">
        <v>1450</v>
      </c>
      <c r="L67" s="4" t="s">
        <v>1449</v>
      </c>
      <c r="M67" s="4" t="s">
        <v>62</v>
      </c>
      <c r="N67" s="4" t="s">
        <v>1452</v>
      </c>
      <c r="O67" s="4" t="s">
        <v>1453</v>
      </c>
      <c r="P67" s="4" t="s">
        <v>1452</v>
      </c>
      <c r="Q67" s="4" t="s">
        <v>62</v>
      </c>
    </row>
    <row r="68" spans="1:17" ht="72" x14ac:dyDescent="0.3">
      <c r="A68" s="7" t="s">
        <v>650</v>
      </c>
      <c r="B68" s="4" t="s">
        <v>1855</v>
      </c>
      <c r="C68" s="4" t="s">
        <v>1856</v>
      </c>
      <c r="D68" s="4" t="s">
        <v>180</v>
      </c>
      <c r="E68" s="4" t="s">
        <v>1382</v>
      </c>
      <c r="F68" s="4" t="s">
        <v>1857</v>
      </c>
      <c r="G68" s="4" t="s">
        <v>1858</v>
      </c>
      <c r="H68" s="4" t="s">
        <v>1608</v>
      </c>
      <c r="I68" s="4" t="s">
        <v>117</v>
      </c>
      <c r="J68" s="4" t="s">
        <v>1859</v>
      </c>
      <c r="K68" s="4" t="s">
        <v>1860</v>
      </c>
      <c r="L68" s="4" t="s">
        <v>140</v>
      </c>
      <c r="M68" s="4" t="s">
        <v>617</v>
      </c>
      <c r="N68" s="4" t="s">
        <v>1861</v>
      </c>
      <c r="O68" s="4" t="s">
        <v>1862</v>
      </c>
      <c r="P68" s="4" t="s">
        <v>180</v>
      </c>
      <c r="Q68" s="4" t="s">
        <v>100</v>
      </c>
    </row>
    <row r="69" spans="1:17" ht="72" x14ac:dyDescent="0.3">
      <c r="A69" s="7" t="s">
        <v>660</v>
      </c>
      <c r="B69" s="4" t="s">
        <v>1863</v>
      </c>
      <c r="C69" s="4" t="s">
        <v>1864</v>
      </c>
      <c r="D69" s="4" t="s">
        <v>1865</v>
      </c>
      <c r="E69" s="4" t="s">
        <v>1866</v>
      </c>
      <c r="F69" s="4" t="s">
        <v>1867</v>
      </c>
      <c r="G69" s="4" t="s">
        <v>1868</v>
      </c>
      <c r="H69" s="4" t="s">
        <v>667</v>
      </c>
      <c r="I69" s="4" t="s">
        <v>664</v>
      </c>
      <c r="J69" s="4" t="s">
        <v>1869</v>
      </c>
      <c r="K69" s="4" t="s">
        <v>1870</v>
      </c>
      <c r="L69" s="4" t="s">
        <v>1871</v>
      </c>
      <c r="M69" s="4" t="s">
        <v>982</v>
      </c>
      <c r="N69" s="4" t="s">
        <v>1872</v>
      </c>
      <c r="O69" s="4" t="s">
        <v>1873</v>
      </c>
      <c r="P69" s="4" t="s">
        <v>1874</v>
      </c>
      <c r="Q69" s="4" t="s">
        <v>117</v>
      </c>
    </row>
    <row r="70" spans="1:17" ht="72" x14ac:dyDescent="0.3">
      <c r="A70" s="7" t="s">
        <v>674</v>
      </c>
      <c r="B70" s="4" t="s">
        <v>1875</v>
      </c>
      <c r="C70" s="4" t="s">
        <v>1876</v>
      </c>
      <c r="D70" s="4" t="s">
        <v>1877</v>
      </c>
      <c r="E70" s="4" t="s">
        <v>1799</v>
      </c>
      <c r="F70" s="4" t="s">
        <v>1878</v>
      </c>
      <c r="G70" s="4" t="s">
        <v>1879</v>
      </c>
      <c r="H70" s="4" t="s">
        <v>1880</v>
      </c>
      <c r="I70" s="4" t="s">
        <v>664</v>
      </c>
      <c r="J70" s="4" t="s">
        <v>1881</v>
      </c>
      <c r="K70" s="4" t="s">
        <v>1882</v>
      </c>
      <c r="L70" s="4" t="s">
        <v>1077</v>
      </c>
      <c r="M70" s="4" t="s">
        <v>1507</v>
      </c>
      <c r="N70" s="4" t="s">
        <v>1883</v>
      </c>
      <c r="O70" s="4" t="s">
        <v>1884</v>
      </c>
      <c r="P70" s="4" t="s">
        <v>1885</v>
      </c>
      <c r="Q70" s="4" t="s">
        <v>73</v>
      </c>
    </row>
    <row r="71" spans="1:17" ht="86.4" x14ac:dyDescent="0.3">
      <c r="A71" s="7" t="s">
        <v>687</v>
      </c>
      <c r="B71" s="4" t="s">
        <v>1886</v>
      </c>
      <c r="C71" s="4" t="s">
        <v>1887</v>
      </c>
      <c r="D71" s="4" t="s">
        <v>1319</v>
      </c>
      <c r="E71" s="4" t="s">
        <v>1507</v>
      </c>
      <c r="F71" s="4" t="s">
        <v>1888</v>
      </c>
      <c r="G71" s="4" t="s">
        <v>1889</v>
      </c>
      <c r="H71" s="4" t="s">
        <v>1159</v>
      </c>
      <c r="I71" s="4" t="s">
        <v>407</v>
      </c>
      <c r="J71" s="4" t="s">
        <v>1890</v>
      </c>
      <c r="K71" s="4" t="s">
        <v>1891</v>
      </c>
      <c r="L71" s="4" t="s">
        <v>402</v>
      </c>
      <c r="M71" s="4" t="s">
        <v>407</v>
      </c>
      <c r="N71" s="4" t="s">
        <v>1892</v>
      </c>
      <c r="O71" s="4" t="s">
        <v>1893</v>
      </c>
      <c r="P71" s="4" t="s">
        <v>1894</v>
      </c>
      <c r="Q71" s="4" t="s">
        <v>158</v>
      </c>
    </row>
    <row r="72" spans="1:17" ht="43.2" x14ac:dyDescent="0.3">
      <c r="A72" s="4" t="s">
        <v>699</v>
      </c>
      <c r="B72" s="4"/>
      <c r="C72" s="4"/>
      <c r="D72" s="4"/>
      <c r="E72" s="4"/>
      <c r="F72" s="4"/>
      <c r="G72" s="4"/>
      <c r="H72" s="4"/>
      <c r="I72" s="4"/>
      <c r="J72" s="4"/>
      <c r="K72" s="4"/>
      <c r="L72" s="4"/>
      <c r="M72" s="4"/>
      <c r="N72" s="4"/>
      <c r="O72" s="4"/>
      <c r="P72" s="4"/>
      <c r="Q72" s="4"/>
    </row>
    <row r="73" spans="1:17" ht="57.6" x14ac:dyDescent="0.3">
      <c r="A73" s="6" t="s">
        <v>69</v>
      </c>
      <c r="B73" s="4" t="s">
        <v>1895</v>
      </c>
      <c r="C73" s="4" t="s">
        <v>1895</v>
      </c>
      <c r="D73" s="4" t="s">
        <v>1895</v>
      </c>
      <c r="E73" s="4" t="s">
        <v>1895</v>
      </c>
      <c r="F73" s="4" t="s">
        <v>1446</v>
      </c>
      <c r="G73" s="4" t="s">
        <v>1447</v>
      </c>
      <c r="H73" s="4" t="s">
        <v>1446</v>
      </c>
      <c r="I73" s="4" t="s">
        <v>62</v>
      </c>
      <c r="J73" s="4" t="s">
        <v>1895</v>
      </c>
      <c r="K73" s="4" t="s">
        <v>1895</v>
      </c>
      <c r="L73" s="4" t="s">
        <v>1895</v>
      </c>
      <c r="M73" s="4" t="s">
        <v>1895</v>
      </c>
      <c r="N73" s="4" t="s">
        <v>1452</v>
      </c>
      <c r="O73" s="4" t="s">
        <v>1453</v>
      </c>
      <c r="P73" s="4" t="s">
        <v>1452</v>
      </c>
      <c r="Q73" s="4" t="s">
        <v>62</v>
      </c>
    </row>
    <row r="74" spans="1:17" ht="28.8" x14ac:dyDescent="0.3">
      <c r="A74" s="7" t="s">
        <v>700</v>
      </c>
      <c r="B74" s="4" t="s">
        <v>1895</v>
      </c>
      <c r="C74" s="4" t="s">
        <v>1895</v>
      </c>
      <c r="D74" s="4" t="s">
        <v>1895</v>
      </c>
      <c r="E74" s="4" t="s">
        <v>1895</v>
      </c>
      <c r="F74" s="4" t="s">
        <v>1896</v>
      </c>
      <c r="G74" s="4" t="s">
        <v>1897</v>
      </c>
      <c r="H74" s="4" t="s">
        <v>157</v>
      </c>
      <c r="I74" s="4" t="s">
        <v>158</v>
      </c>
      <c r="J74" s="4" t="s">
        <v>1895</v>
      </c>
      <c r="K74" s="4" t="s">
        <v>1895</v>
      </c>
      <c r="L74" s="4" t="s">
        <v>1895</v>
      </c>
      <c r="M74" s="4" t="s">
        <v>1895</v>
      </c>
      <c r="N74" s="4" t="s">
        <v>1898</v>
      </c>
      <c r="O74" s="4" t="s">
        <v>1899</v>
      </c>
      <c r="P74" s="4" t="s">
        <v>1900</v>
      </c>
      <c r="Q74" s="4" t="s">
        <v>73</v>
      </c>
    </row>
    <row r="75" spans="1:17" ht="129.6" x14ac:dyDescent="0.3">
      <c r="A75" s="7" t="s">
        <v>1901</v>
      </c>
      <c r="B75" s="4" t="s">
        <v>1895</v>
      </c>
      <c r="C75" s="4" t="s">
        <v>1895</v>
      </c>
      <c r="D75" s="4" t="s">
        <v>1895</v>
      </c>
      <c r="E75" s="4" t="s">
        <v>1895</v>
      </c>
      <c r="F75" s="4" t="s">
        <v>1902</v>
      </c>
      <c r="G75" s="4" t="s">
        <v>1630</v>
      </c>
      <c r="H75" s="4" t="s">
        <v>1903</v>
      </c>
      <c r="I75" s="4" t="s">
        <v>103</v>
      </c>
      <c r="J75" s="4" t="s">
        <v>1895</v>
      </c>
      <c r="K75" s="4" t="s">
        <v>1895</v>
      </c>
      <c r="L75" s="4" t="s">
        <v>1895</v>
      </c>
      <c r="M75" s="4" t="s">
        <v>1895</v>
      </c>
      <c r="N75" s="4" t="s">
        <v>1904</v>
      </c>
      <c r="O75" s="4" t="s">
        <v>1905</v>
      </c>
      <c r="P75" s="4" t="s">
        <v>814</v>
      </c>
      <c r="Q75" s="4" t="s">
        <v>103</v>
      </c>
    </row>
    <row r="76" spans="1:17" ht="28.8" x14ac:dyDescent="0.3">
      <c r="A76" s="7" t="s">
        <v>722</v>
      </c>
      <c r="B76" s="4" t="s">
        <v>1895</v>
      </c>
      <c r="C76" s="4" t="s">
        <v>1895</v>
      </c>
      <c r="D76" s="4" t="s">
        <v>1895</v>
      </c>
      <c r="E76" s="4" t="s">
        <v>1895</v>
      </c>
      <c r="F76" s="4" t="s">
        <v>1906</v>
      </c>
      <c r="G76" s="4" t="s">
        <v>1907</v>
      </c>
      <c r="H76" s="4" t="s">
        <v>1908</v>
      </c>
      <c r="I76" s="4" t="s">
        <v>185</v>
      </c>
      <c r="J76" s="4" t="s">
        <v>1895</v>
      </c>
      <c r="K76" s="4" t="s">
        <v>1895</v>
      </c>
      <c r="L76" s="4" t="s">
        <v>1895</v>
      </c>
      <c r="M76" s="4" t="s">
        <v>1895</v>
      </c>
      <c r="N76" s="4" t="s">
        <v>1909</v>
      </c>
      <c r="O76" s="4" t="s">
        <v>1910</v>
      </c>
      <c r="P76" s="4" t="s">
        <v>1911</v>
      </c>
      <c r="Q76" s="4" t="s">
        <v>73</v>
      </c>
    </row>
    <row r="77" spans="1:17" ht="72" x14ac:dyDescent="0.3">
      <c r="A77" s="7" t="s">
        <v>733</v>
      </c>
      <c r="B77" s="4" t="s">
        <v>1895</v>
      </c>
      <c r="C77" s="4" t="s">
        <v>1895</v>
      </c>
      <c r="D77" s="4" t="s">
        <v>1895</v>
      </c>
      <c r="E77" s="4" t="s">
        <v>1895</v>
      </c>
      <c r="F77" s="4" t="s">
        <v>1912</v>
      </c>
      <c r="G77" s="4" t="s">
        <v>1913</v>
      </c>
      <c r="H77" s="4" t="s">
        <v>797</v>
      </c>
      <c r="I77" s="4" t="s">
        <v>103</v>
      </c>
      <c r="J77" s="4" t="s">
        <v>1895</v>
      </c>
      <c r="K77" s="4" t="s">
        <v>1895</v>
      </c>
      <c r="L77" s="4" t="s">
        <v>1895</v>
      </c>
      <c r="M77" s="4" t="s">
        <v>1895</v>
      </c>
      <c r="N77" s="4" t="s">
        <v>1914</v>
      </c>
      <c r="O77" s="4" t="s">
        <v>1915</v>
      </c>
      <c r="P77" s="4" t="s">
        <v>818</v>
      </c>
      <c r="Q77" s="4" t="s">
        <v>103</v>
      </c>
    </row>
    <row r="78" spans="1:17" ht="43.2" x14ac:dyDescent="0.3">
      <c r="A78" s="7" t="s">
        <v>744</v>
      </c>
      <c r="B78" s="4" t="s">
        <v>1895</v>
      </c>
      <c r="C78" s="4" t="s">
        <v>1895</v>
      </c>
      <c r="D78" s="4" t="s">
        <v>1895</v>
      </c>
      <c r="E78" s="4" t="s">
        <v>1895</v>
      </c>
      <c r="F78" s="4" t="s">
        <v>745</v>
      </c>
      <c r="G78" s="4" t="s">
        <v>1916</v>
      </c>
      <c r="H78" s="4" t="s">
        <v>226</v>
      </c>
      <c r="I78" s="4" t="s">
        <v>153</v>
      </c>
      <c r="J78" s="4" t="s">
        <v>1895</v>
      </c>
      <c r="K78" s="4" t="s">
        <v>1895</v>
      </c>
      <c r="L78" s="4" t="s">
        <v>1895</v>
      </c>
      <c r="M78" s="4" t="s">
        <v>1895</v>
      </c>
      <c r="N78" s="4" t="s">
        <v>745</v>
      </c>
      <c r="O78" s="4" t="s">
        <v>1542</v>
      </c>
      <c r="P78" s="4" t="s">
        <v>226</v>
      </c>
      <c r="Q78" s="4" t="s">
        <v>153</v>
      </c>
    </row>
    <row r="79" spans="1:17" x14ac:dyDescent="0.3">
      <c r="A79" s="7" t="s">
        <v>753</v>
      </c>
      <c r="B79" s="4" t="s">
        <v>1895</v>
      </c>
      <c r="C79" s="4" t="s">
        <v>1895</v>
      </c>
      <c r="D79" s="4" t="s">
        <v>1895</v>
      </c>
      <c r="E79" s="4" t="s">
        <v>1895</v>
      </c>
      <c r="F79" s="4" t="s">
        <v>1917</v>
      </c>
      <c r="G79" s="4" t="s">
        <v>1918</v>
      </c>
      <c r="H79" s="4" t="s">
        <v>226</v>
      </c>
      <c r="I79" s="4" t="s">
        <v>153</v>
      </c>
      <c r="J79" s="4" t="s">
        <v>1895</v>
      </c>
      <c r="K79" s="4" t="s">
        <v>1895</v>
      </c>
      <c r="L79" s="4" t="s">
        <v>1895</v>
      </c>
      <c r="M79" s="4" t="s">
        <v>1895</v>
      </c>
      <c r="N79" s="4" t="s">
        <v>1919</v>
      </c>
      <c r="O79" s="4" t="s">
        <v>1920</v>
      </c>
      <c r="P79" s="4" t="s">
        <v>756</v>
      </c>
      <c r="Q79" s="4" t="s">
        <v>153</v>
      </c>
    </row>
    <row r="80" spans="1:17" ht="43.2" x14ac:dyDescent="0.3">
      <c r="A80" s="7" t="s">
        <v>764</v>
      </c>
      <c r="B80" s="4" t="s">
        <v>1895</v>
      </c>
      <c r="C80" s="4" t="s">
        <v>1895</v>
      </c>
      <c r="D80" s="4" t="s">
        <v>1895</v>
      </c>
      <c r="E80" s="4" t="s">
        <v>1895</v>
      </c>
      <c r="F80" s="4" t="s">
        <v>1921</v>
      </c>
      <c r="G80" s="4" t="s">
        <v>1360</v>
      </c>
      <c r="H80" s="4" t="s">
        <v>738</v>
      </c>
      <c r="I80" s="4" t="s">
        <v>103</v>
      </c>
      <c r="J80" s="4" t="s">
        <v>1895</v>
      </c>
      <c r="K80" s="4" t="s">
        <v>1895</v>
      </c>
      <c r="L80" s="4" t="s">
        <v>1895</v>
      </c>
      <c r="M80" s="4" t="s">
        <v>1895</v>
      </c>
      <c r="N80" s="4" t="s">
        <v>1922</v>
      </c>
      <c r="O80" s="4" t="s">
        <v>1923</v>
      </c>
      <c r="P80" s="4" t="s">
        <v>756</v>
      </c>
      <c r="Q80" s="4" t="s">
        <v>153</v>
      </c>
    </row>
    <row r="81" spans="1:17" ht="28.8" x14ac:dyDescent="0.3">
      <c r="A81" s="7" t="s">
        <v>770</v>
      </c>
      <c r="B81" s="4" t="s">
        <v>1895</v>
      </c>
      <c r="C81" s="4" t="s">
        <v>1895</v>
      </c>
      <c r="D81" s="4" t="s">
        <v>1895</v>
      </c>
      <c r="E81" s="4" t="s">
        <v>1895</v>
      </c>
      <c r="F81" s="4" t="s">
        <v>1924</v>
      </c>
      <c r="G81" s="4" t="s">
        <v>1340</v>
      </c>
      <c r="H81" s="4" t="s">
        <v>223</v>
      </c>
      <c r="I81" s="4" t="s">
        <v>153</v>
      </c>
      <c r="J81" s="4" t="s">
        <v>1895</v>
      </c>
      <c r="K81" s="4" t="s">
        <v>1895</v>
      </c>
      <c r="L81" s="4" t="s">
        <v>1895</v>
      </c>
      <c r="M81" s="4" t="s">
        <v>1895</v>
      </c>
      <c r="N81" s="4" t="s">
        <v>1925</v>
      </c>
      <c r="O81" s="4" t="s">
        <v>1121</v>
      </c>
      <c r="P81" s="4" t="s">
        <v>756</v>
      </c>
      <c r="Q81" s="4" t="s">
        <v>153</v>
      </c>
    </row>
    <row r="82" spans="1:17" ht="43.2" x14ac:dyDescent="0.3">
      <c r="A82" s="7" t="s">
        <v>777</v>
      </c>
      <c r="B82" s="4" t="s">
        <v>1895</v>
      </c>
      <c r="C82" s="4" t="s">
        <v>1895</v>
      </c>
      <c r="D82" s="4" t="s">
        <v>1895</v>
      </c>
      <c r="E82" s="4" t="s">
        <v>1895</v>
      </c>
      <c r="F82" s="4" t="s">
        <v>1926</v>
      </c>
      <c r="G82" s="4" t="s">
        <v>1927</v>
      </c>
      <c r="H82" s="4" t="s">
        <v>363</v>
      </c>
      <c r="I82" s="4" t="s">
        <v>127</v>
      </c>
      <c r="J82" s="4" t="s">
        <v>1895</v>
      </c>
      <c r="K82" s="4" t="s">
        <v>1895</v>
      </c>
      <c r="L82" s="4" t="s">
        <v>1895</v>
      </c>
      <c r="M82" s="4" t="s">
        <v>1895</v>
      </c>
      <c r="N82" s="4" t="s">
        <v>1928</v>
      </c>
      <c r="O82" s="4" t="s">
        <v>1929</v>
      </c>
      <c r="P82" s="4" t="s">
        <v>718</v>
      </c>
      <c r="Q82" s="4" t="s">
        <v>103</v>
      </c>
    </row>
    <row r="83" spans="1:17" ht="57.6" x14ac:dyDescent="0.3">
      <c r="A83" s="4" t="s">
        <v>787</v>
      </c>
      <c r="B83" s="4"/>
      <c r="C83" s="4"/>
      <c r="D83" s="4"/>
      <c r="E83" s="4"/>
      <c r="F83" s="4"/>
      <c r="G83" s="4"/>
      <c r="H83" s="4"/>
      <c r="I83" s="4"/>
      <c r="J83" s="4"/>
      <c r="K83" s="4"/>
      <c r="L83" s="4"/>
      <c r="M83" s="4"/>
      <c r="N83" s="4"/>
      <c r="O83" s="4"/>
      <c r="P83" s="4"/>
      <c r="Q83" s="4"/>
    </row>
    <row r="84" spans="1:17" ht="57.6" x14ac:dyDescent="0.3">
      <c r="A84" s="6" t="s">
        <v>69</v>
      </c>
      <c r="B84" s="4" t="s">
        <v>1444</v>
      </c>
      <c r="C84" s="4" t="s">
        <v>1445</v>
      </c>
      <c r="D84" s="4" t="s">
        <v>1444</v>
      </c>
      <c r="E84" s="4" t="s">
        <v>62</v>
      </c>
      <c r="F84" s="4" t="s">
        <v>1446</v>
      </c>
      <c r="G84" s="4" t="s">
        <v>1447</v>
      </c>
      <c r="H84" s="4" t="s">
        <v>1446</v>
      </c>
      <c r="I84" s="4" t="s">
        <v>62</v>
      </c>
      <c r="J84" s="4" t="s">
        <v>1449</v>
      </c>
      <c r="K84" s="4" t="s">
        <v>1450</v>
      </c>
      <c r="L84" s="4" t="s">
        <v>1449</v>
      </c>
      <c r="M84" s="4" t="s">
        <v>62</v>
      </c>
      <c r="N84" s="4" t="s">
        <v>1452</v>
      </c>
      <c r="O84" s="4" t="s">
        <v>1453</v>
      </c>
      <c r="P84" s="4" t="s">
        <v>1452</v>
      </c>
      <c r="Q84" s="4" t="s">
        <v>62</v>
      </c>
    </row>
    <row r="85" spans="1:17" ht="115.2" x14ac:dyDescent="0.3">
      <c r="A85" s="7" t="s">
        <v>788</v>
      </c>
      <c r="B85" s="4" t="s">
        <v>1930</v>
      </c>
      <c r="C85" s="4" t="s">
        <v>849</v>
      </c>
      <c r="D85" s="4" t="s">
        <v>797</v>
      </c>
      <c r="E85" s="4" t="s">
        <v>100</v>
      </c>
      <c r="F85" s="4" t="s">
        <v>1931</v>
      </c>
      <c r="G85" s="4" t="s">
        <v>1932</v>
      </c>
      <c r="H85" s="4" t="s">
        <v>763</v>
      </c>
      <c r="I85" s="4" t="s">
        <v>103</v>
      </c>
      <c r="J85" s="4" t="s">
        <v>1933</v>
      </c>
      <c r="K85" s="4" t="s">
        <v>1934</v>
      </c>
      <c r="L85" s="4" t="s">
        <v>763</v>
      </c>
      <c r="M85" s="4" t="s">
        <v>84</v>
      </c>
      <c r="N85" s="4" t="s">
        <v>1935</v>
      </c>
      <c r="O85" s="4" t="s">
        <v>1936</v>
      </c>
      <c r="P85" s="4" t="s">
        <v>738</v>
      </c>
      <c r="Q85" s="4" t="s">
        <v>153</v>
      </c>
    </row>
    <row r="86" spans="1:17" ht="115.2" x14ac:dyDescent="0.3">
      <c r="A86" s="7" t="s">
        <v>798</v>
      </c>
      <c r="B86" s="4" t="s">
        <v>1937</v>
      </c>
      <c r="C86" s="4" t="s">
        <v>1938</v>
      </c>
      <c r="D86" s="4" t="s">
        <v>782</v>
      </c>
      <c r="E86" s="4" t="s">
        <v>100</v>
      </c>
      <c r="F86" s="4" t="s">
        <v>1902</v>
      </c>
      <c r="G86" s="4" t="s">
        <v>1547</v>
      </c>
      <c r="H86" s="4" t="s">
        <v>1903</v>
      </c>
      <c r="I86" s="4" t="s">
        <v>84</v>
      </c>
      <c r="J86" s="4" t="s">
        <v>1939</v>
      </c>
      <c r="K86" s="4" t="s">
        <v>1202</v>
      </c>
      <c r="L86" s="4" t="s">
        <v>216</v>
      </c>
      <c r="M86" s="4" t="s">
        <v>127</v>
      </c>
      <c r="N86" s="4" t="s">
        <v>1940</v>
      </c>
      <c r="O86" s="4" t="s">
        <v>173</v>
      </c>
      <c r="P86" s="4" t="s">
        <v>1903</v>
      </c>
      <c r="Q86" s="4" t="s">
        <v>103</v>
      </c>
    </row>
    <row r="87" spans="1:17" ht="100.8" x14ac:dyDescent="0.3">
      <c r="A87" s="7" t="s">
        <v>808</v>
      </c>
      <c r="B87" s="4" t="s">
        <v>1941</v>
      </c>
      <c r="C87" s="4" t="s">
        <v>1942</v>
      </c>
      <c r="D87" s="4" t="s">
        <v>756</v>
      </c>
      <c r="E87" s="4" t="s">
        <v>103</v>
      </c>
      <c r="F87" s="4" t="s">
        <v>1943</v>
      </c>
      <c r="G87" s="4" t="s">
        <v>1944</v>
      </c>
      <c r="H87" s="4" t="s">
        <v>718</v>
      </c>
      <c r="I87" s="4" t="s">
        <v>84</v>
      </c>
      <c r="J87" s="4" t="s">
        <v>1945</v>
      </c>
      <c r="K87" s="4" t="s">
        <v>252</v>
      </c>
      <c r="L87" s="4" t="s">
        <v>797</v>
      </c>
      <c r="M87" s="4" t="s">
        <v>84</v>
      </c>
      <c r="N87" s="4" t="s">
        <v>1946</v>
      </c>
      <c r="O87" s="4" t="s">
        <v>1947</v>
      </c>
      <c r="P87" s="4" t="s">
        <v>782</v>
      </c>
      <c r="Q87" s="4" t="s">
        <v>103</v>
      </c>
    </row>
    <row r="88" spans="1:17" ht="43.2" x14ac:dyDescent="0.3">
      <c r="A88" s="4" t="s">
        <v>819</v>
      </c>
      <c r="B88" s="4"/>
      <c r="C88" s="4"/>
      <c r="D88" s="4"/>
      <c r="E88" s="4"/>
      <c r="F88" s="4"/>
      <c r="G88" s="4"/>
      <c r="H88" s="4"/>
      <c r="I88" s="4"/>
      <c r="J88" s="4"/>
      <c r="K88" s="4"/>
      <c r="L88" s="4"/>
      <c r="M88" s="4"/>
      <c r="N88" s="4"/>
      <c r="O88" s="4"/>
      <c r="P88" s="4"/>
      <c r="Q88" s="4"/>
    </row>
    <row r="89" spans="1:17" ht="57.6" x14ac:dyDescent="0.3">
      <c r="A89" s="6" t="s">
        <v>69</v>
      </c>
      <c r="B89" s="4" t="s">
        <v>1444</v>
      </c>
      <c r="C89" s="4" t="s">
        <v>1445</v>
      </c>
      <c r="D89" s="4" t="s">
        <v>1444</v>
      </c>
      <c r="E89" s="4" t="s">
        <v>62</v>
      </c>
      <c r="F89" s="4" t="s">
        <v>1446</v>
      </c>
      <c r="G89" s="4" t="s">
        <v>1447</v>
      </c>
      <c r="H89" s="4" t="s">
        <v>1446</v>
      </c>
      <c r="I89" s="4" t="s">
        <v>62</v>
      </c>
      <c r="J89" s="4" t="s">
        <v>1449</v>
      </c>
      <c r="K89" s="4" t="s">
        <v>1450</v>
      </c>
      <c r="L89" s="4" t="s">
        <v>1449</v>
      </c>
      <c r="M89" s="4" t="s">
        <v>62</v>
      </c>
      <c r="N89" s="4" t="s">
        <v>1452</v>
      </c>
      <c r="O89" s="4" t="s">
        <v>1453</v>
      </c>
      <c r="P89" s="4" t="s">
        <v>1452</v>
      </c>
      <c r="Q89" s="4" t="s">
        <v>62</v>
      </c>
    </row>
    <row r="90" spans="1:17" ht="28.8" x14ac:dyDescent="0.3">
      <c r="A90" s="7" t="s">
        <v>820</v>
      </c>
      <c r="B90" s="4" t="s">
        <v>1948</v>
      </c>
      <c r="C90" s="4" t="s">
        <v>1949</v>
      </c>
      <c r="D90" s="4" t="s">
        <v>1950</v>
      </c>
      <c r="E90" s="4" t="s">
        <v>617</v>
      </c>
      <c r="F90" s="4" t="s">
        <v>1951</v>
      </c>
      <c r="G90" s="4" t="s">
        <v>1952</v>
      </c>
      <c r="H90" s="4" t="s">
        <v>1953</v>
      </c>
      <c r="I90" s="4" t="s">
        <v>109</v>
      </c>
      <c r="J90" s="4" t="s">
        <v>1954</v>
      </c>
      <c r="K90" s="4" t="s">
        <v>1955</v>
      </c>
      <c r="L90" s="4" t="s">
        <v>1956</v>
      </c>
      <c r="M90" s="4" t="s">
        <v>100</v>
      </c>
      <c r="N90" s="4" t="s">
        <v>1957</v>
      </c>
      <c r="O90" s="4" t="s">
        <v>1958</v>
      </c>
      <c r="P90" s="4" t="s">
        <v>1959</v>
      </c>
      <c r="Q90" s="4" t="s">
        <v>103</v>
      </c>
    </row>
    <row r="91" spans="1:17" ht="43.2" x14ac:dyDescent="0.3">
      <c r="A91" s="7" t="s">
        <v>832</v>
      </c>
      <c r="B91" s="4" t="s">
        <v>1960</v>
      </c>
      <c r="C91" s="4" t="s">
        <v>1961</v>
      </c>
      <c r="D91" s="4" t="s">
        <v>131</v>
      </c>
      <c r="E91" s="4" t="s">
        <v>158</v>
      </c>
      <c r="F91" s="4" t="s">
        <v>1962</v>
      </c>
      <c r="G91" s="4" t="s">
        <v>1963</v>
      </c>
      <c r="H91" s="4" t="s">
        <v>474</v>
      </c>
      <c r="I91" s="4" t="s">
        <v>77</v>
      </c>
      <c r="J91" s="4" t="s">
        <v>1964</v>
      </c>
      <c r="K91" s="4" t="s">
        <v>1965</v>
      </c>
      <c r="L91" s="4" t="s">
        <v>366</v>
      </c>
      <c r="M91" s="4" t="s">
        <v>77</v>
      </c>
      <c r="N91" s="4" t="s">
        <v>1966</v>
      </c>
      <c r="O91" s="4" t="s">
        <v>1915</v>
      </c>
      <c r="P91" s="4" t="s">
        <v>782</v>
      </c>
      <c r="Q91" s="4" t="s">
        <v>103</v>
      </c>
    </row>
    <row r="92" spans="1:17" ht="43.2" x14ac:dyDescent="0.3">
      <c r="A92" s="7" t="s">
        <v>841</v>
      </c>
      <c r="B92" s="4" t="s">
        <v>1967</v>
      </c>
      <c r="C92" s="4" t="s">
        <v>1968</v>
      </c>
      <c r="D92" s="4" t="s">
        <v>718</v>
      </c>
      <c r="E92" s="4" t="s">
        <v>158</v>
      </c>
      <c r="F92" s="4" t="s">
        <v>1969</v>
      </c>
      <c r="G92" s="4" t="s">
        <v>1970</v>
      </c>
      <c r="H92" s="4" t="s">
        <v>131</v>
      </c>
      <c r="I92" s="4" t="s">
        <v>100</v>
      </c>
      <c r="J92" s="4" t="s">
        <v>1971</v>
      </c>
      <c r="K92" s="4" t="s">
        <v>1972</v>
      </c>
      <c r="L92" s="4" t="s">
        <v>216</v>
      </c>
      <c r="M92" s="4" t="s">
        <v>127</v>
      </c>
      <c r="N92" s="4" t="s">
        <v>1973</v>
      </c>
      <c r="O92" s="4" t="s">
        <v>1974</v>
      </c>
      <c r="P92" s="4" t="s">
        <v>797</v>
      </c>
      <c r="Q92" s="4" t="s">
        <v>153</v>
      </c>
    </row>
    <row r="93" spans="1:17" x14ac:dyDescent="0.3">
      <c r="A93" s="4" t="s">
        <v>850</v>
      </c>
      <c r="B93" s="4"/>
      <c r="C93" s="4"/>
      <c r="D93" s="4"/>
      <c r="E93" s="4"/>
      <c r="F93" s="4"/>
      <c r="G93" s="4"/>
      <c r="H93" s="4"/>
      <c r="I93" s="4"/>
      <c r="J93" s="4"/>
      <c r="K93" s="4"/>
      <c r="L93" s="4"/>
      <c r="M93" s="4"/>
      <c r="N93" s="4"/>
      <c r="O93" s="4"/>
      <c r="P93" s="4"/>
      <c r="Q93" s="4"/>
    </row>
    <row r="94" spans="1:17" ht="43.2" x14ac:dyDescent="0.3">
      <c r="A94" s="6" t="s">
        <v>851</v>
      </c>
      <c r="B94" s="4" t="s">
        <v>1761</v>
      </c>
      <c r="C94" s="4" t="s">
        <v>1762</v>
      </c>
      <c r="D94" s="4" t="s">
        <v>1761</v>
      </c>
      <c r="E94" s="4" t="s">
        <v>62</v>
      </c>
      <c r="F94" s="4" t="s">
        <v>1764</v>
      </c>
      <c r="G94" s="4" t="s">
        <v>1765</v>
      </c>
      <c r="H94" s="4" t="s">
        <v>1764</v>
      </c>
      <c r="I94" s="4" t="s">
        <v>62</v>
      </c>
      <c r="J94" s="4" t="s">
        <v>1767</v>
      </c>
      <c r="K94" s="4" t="s">
        <v>1768</v>
      </c>
      <c r="L94" s="4" t="s">
        <v>1767</v>
      </c>
      <c r="M94" s="4" t="s">
        <v>62</v>
      </c>
      <c r="N94" s="4" t="s">
        <v>1770</v>
      </c>
      <c r="O94" s="4" t="s">
        <v>1771</v>
      </c>
      <c r="P94" s="4" t="s">
        <v>1770</v>
      </c>
      <c r="Q94" s="4" t="s">
        <v>62</v>
      </c>
    </row>
    <row r="95" spans="1:17" ht="57.6" x14ac:dyDescent="0.3">
      <c r="A95" s="7" t="s">
        <v>852</v>
      </c>
      <c r="B95" s="4" t="s">
        <v>1975</v>
      </c>
      <c r="C95" s="4" t="s">
        <v>1976</v>
      </c>
      <c r="D95" s="4" t="s">
        <v>174</v>
      </c>
      <c r="E95" s="4" t="s">
        <v>1572</v>
      </c>
      <c r="F95" s="4" t="s">
        <v>1977</v>
      </c>
      <c r="G95" s="4" t="s">
        <v>1978</v>
      </c>
      <c r="H95" s="4" t="s">
        <v>1979</v>
      </c>
      <c r="I95" s="4" t="s">
        <v>185</v>
      </c>
      <c r="J95" s="4" t="s">
        <v>1980</v>
      </c>
      <c r="K95" s="4" t="s">
        <v>1981</v>
      </c>
      <c r="L95" s="4" t="s">
        <v>1982</v>
      </c>
      <c r="M95" s="4" t="s">
        <v>664</v>
      </c>
      <c r="N95" s="4" t="s">
        <v>1983</v>
      </c>
      <c r="O95" s="4" t="s">
        <v>1984</v>
      </c>
      <c r="P95" s="4" t="s">
        <v>1620</v>
      </c>
      <c r="Q95" s="4" t="s">
        <v>77</v>
      </c>
    </row>
    <row r="96" spans="1:17" ht="57.6" x14ac:dyDescent="0.3">
      <c r="A96" s="7" t="s">
        <v>861</v>
      </c>
      <c r="B96" s="4" t="s">
        <v>1985</v>
      </c>
      <c r="C96" s="4" t="s">
        <v>1986</v>
      </c>
      <c r="D96" s="4" t="s">
        <v>1414</v>
      </c>
      <c r="E96" s="4" t="s">
        <v>946</v>
      </c>
      <c r="F96" s="4" t="s">
        <v>1987</v>
      </c>
      <c r="G96" s="4" t="s">
        <v>1988</v>
      </c>
      <c r="H96" s="4" t="s">
        <v>1034</v>
      </c>
      <c r="I96" s="4" t="s">
        <v>77</v>
      </c>
      <c r="J96" s="4" t="s">
        <v>1989</v>
      </c>
      <c r="K96" s="4" t="s">
        <v>1302</v>
      </c>
      <c r="L96" s="4" t="s">
        <v>1990</v>
      </c>
      <c r="M96" s="4" t="s">
        <v>982</v>
      </c>
      <c r="N96" s="4" t="s">
        <v>1991</v>
      </c>
      <c r="O96" s="4" t="s">
        <v>1711</v>
      </c>
      <c r="P96" s="4" t="s">
        <v>131</v>
      </c>
      <c r="Q96" s="4" t="s">
        <v>127</v>
      </c>
    </row>
    <row r="97" spans="1:17" ht="57.6" x14ac:dyDescent="0.3">
      <c r="A97" s="7" t="s">
        <v>872</v>
      </c>
      <c r="B97" s="4" t="s">
        <v>848</v>
      </c>
      <c r="C97" s="4" t="s">
        <v>1992</v>
      </c>
      <c r="D97" s="4" t="s">
        <v>442</v>
      </c>
      <c r="E97" s="4" t="s">
        <v>1074</v>
      </c>
      <c r="F97" s="4" t="s">
        <v>1993</v>
      </c>
      <c r="G97" s="4" t="s">
        <v>1994</v>
      </c>
      <c r="H97" s="4" t="s">
        <v>213</v>
      </c>
      <c r="I97" s="4" t="s">
        <v>158</v>
      </c>
      <c r="J97" s="4" t="s">
        <v>1995</v>
      </c>
      <c r="K97" s="4" t="s">
        <v>1996</v>
      </c>
      <c r="L97" s="4" t="s">
        <v>272</v>
      </c>
      <c r="M97" s="4" t="s">
        <v>1382</v>
      </c>
      <c r="N97" s="4" t="s">
        <v>1997</v>
      </c>
      <c r="O97" s="4" t="s">
        <v>1998</v>
      </c>
      <c r="P97" s="4" t="s">
        <v>152</v>
      </c>
      <c r="Q97" s="4" t="s">
        <v>84</v>
      </c>
    </row>
    <row r="98" spans="1:17" ht="57.6" x14ac:dyDescent="0.3">
      <c r="A98" s="7" t="s">
        <v>883</v>
      </c>
      <c r="B98" s="4" t="s">
        <v>1999</v>
      </c>
      <c r="C98" s="4" t="s">
        <v>1085</v>
      </c>
      <c r="D98" s="4" t="s">
        <v>1017</v>
      </c>
      <c r="E98" s="4" t="s">
        <v>1144</v>
      </c>
      <c r="F98" s="4" t="s">
        <v>2000</v>
      </c>
      <c r="G98" s="4" t="s">
        <v>2001</v>
      </c>
      <c r="H98" s="4" t="s">
        <v>164</v>
      </c>
      <c r="I98" s="4" t="s">
        <v>185</v>
      </c>
      <c r="J98" s="4" t="s">
        <v>2002</v>
      </c>
      <c r="K98" s="4" t="s">
        <v>2003</v>
      </c>
      <c r="L98" s="4" t="s">
        <v>480</v>
      </c>
      <c r="M98" s="4" t="s">
        <v>1382</v>
      </c>
      <c r="N98" s="4" t="s">
        <v>2004</v>
      </c>
      <c r="O98" s="4" t="s">
        <v>1302</v>
      </c>
      <c r="P98" s="4" t="s">
        <v>2005</v>
      </c>
      <c r="Q98" s="4" t="s">
        <v>77</v>
      </c>
    </row>
    <row r="99" spans="1:17" ht="57.6" x14ac:dyDescent="0.3">
      <c r="A99" s="7" t="s">
        <v>892</v>
      </c>
      <c r="B99" s="4" t="s">
        <v>2006</v>
      </c>
      <c r="C99" s="4" t="s">
        <v>2007</v>
      </c>
      <c r="D99" s="4" t="s">
        <v>2008</v>
      </c>
      <c r="E99" s="4" t="s">
        <v>1866</v>
      </c>
      <c r="F99" s="4" t="s">
        <v>2009</v>
      </c>
      <c r="G99" s="4" t="s">
        <v>2010</v>
      </c>
      <c r="H99" s="4" t="s">
        <v>2011</v>
      </c>
      <c r="I99" s="4" t="s">
        <v>1382</v>
      </c>
      <c r="J99" s="4" t="s">
        <v>2012</v>
      </c>
      <c r="K99" s="4" t="s">
        <v>2013</v>
      </c>
      <c r="L99" s="4" t="s">
        <v>2014</v>
      </c>
      <c r="M99" s="4" t="s">
        <v>982</v>
      </c>
      <c r="N99" s="4" t="s">
        <v>2015</v>
      </c>
      <c r="O99" s="4" t="s">
        <v>2016</v>
      </c>
      <c r="P99" s="4" t="s">
        <v>525</v>
      </c>
      <c r="Q99" s="4" t="s">
        <v>73</v>
      </c>
    </row>
    <row r="100" spans="1:17" ht="57.6" x14ac:dyDescent="0.3">
      <c r="A100" s="7" t="s">
        <v>904</v>
      </c>
      <c r="B100" s="4" t="s">
        <v>2017</v>
      </c>
      <c r="C100" s="4" t="s">
        <v>2018</v>
      </c>
      <c r="D100" s="4" t="s">
        <v>2019</v>
      </c>
      <c r="E100" s="4" t="s">
        <v>2020</v>
      </c>
      <c r="F100" s="4" t="s">
        <v>2021</v>
      </c>
      <c r="G100" s="4" t="s">
        <v>2022</v>
      </c>
      <c r="H100" s="4" t="s">
        <v>510</v>
      </c>
      <c r="I100" s="4" t="s">
        <v>1074</v>
      </c>
      <c r="J100" s="4" t="s">
        <v>2023</v>
      </c>
      <c r="K100" s="4" t="s">
        <v>2024</v>
      </c>
      <c r="L100" s="4" t="s">
        <v>1184</v>
      </c>
      <c r="M100" s="4" t="s">
        <v>946</v>
      </c>
      <c r="N100" s="4" t="s">
        <v>2025</v>
      </c>
      <c r="O100" s="4" t="s">
        <v>2026</v>
      </c>
      <c r="P100" s="4" t="s">
        <v>667</v>
      </c>
      <c r="Q100" s="4" t="s">
        <v>117</v>
      </c>
    </row>
    <row r="101" spans="1:17" ht="57.6" x14ac:dyDescent="0.3">
      <c r="A101" s="7" t="s">
        <v>914</v>
      </c>
      <c r="B101" s="4" t="s">
        <v>2027</v>
      </c>
      <c r="C101" s="4" t="s">
        <v>1641</v>
      </c>
      <c r="D101" s="4" t="s">
        <v>1720</v>
      </c>
      <c r="E101" s="4" t="s">
        <v>1653</v>
      </c>
      <c r="F101" s="4" t="s">
        <v>2028</v>
      </c>
      <c r="G101" s="4" t="s">
        <v>2029</v>
      </c>
      <c r="H101" s="4" t="s">
        <v>433</v>
      </c>
      <c r="I101" s="4" t="s">
        <v>407</v>
      </c>
      <c r="J101" s="4" t="s">
        <v>2030</v>
      </c>
      <c r="K101" s="4" t="s">
        <v>2031</v>
      </c>
      <c r="L101" s="4" t="s">
        <v>1022</v>
      </c>
      <c r="M101" s="4" t="s">
        <v>394</v>
      </c>
      <c r="N101" s="4" t="s">
        <v>2032</v>
      </c>
      <c r="O101" s="4" t="s">
        <v>2033</v>
      </c>
      <c r="P101" s="4" t="s">
        <v>1751</v>
      </c>
      <c r="Q101" s="4" t="s">
        <v>185</v>
      </c>
    </row>
    <row r="102" spans="1:17" ht="57.6" x14ac:dyDescent="0.3">
      <c r="A102" s="7" t="s">
        <v>924</v>
      </c>
      <c r="B102" s="4" t="s">
        <v>2034</v>
      </c>
      <c r="C102" s="4" t="s">
        <v>2035</v>
      </c>
      <c r="D102" s="4" t="s">
        <v>161</v>
      </c>
      <c r="E102" s="4" t="s">
        <v>664</v>
      </c>
      <c r="F102" s="4" t="s">
        <v>2036</v>
      </c>
      <c r="G102" s="4" t="s">
        <v>2037</v>
      </c>
      <c r="H102" s="4" t="s">
        <v>920</v>
      </c>
      <c r="I102" s="4" t="s">
        <v>100</v>
      </c>
      <c r="J102" s="4" t="s">
        <v>2038</v>
      </c>
      <c r="K102" s="4" t="s">
        <v>2039</v>
      </c>
      <c r="L102" s="4" t="s">
        <v>1034</v>
      </c>
      <c r="M102" s="4" t="s">
        <v>117</v>
      </c>
      <c r="N102" s="4" t="s">
        <v>2040</v>
      </c>
      <c r="O102" s="4" t="s">
        <v>2041</v>
      </c>
      <c r="P102" s="4" t="s">
        <v>2042</v>
      </c>
      <c r="Q102" s="4" t="s">
        <v>127</v>
      </c>
    </row>
    <row r="103" spans="1:17" ht="57.6" x14ac:dyDescent="0.3">
      <c r="A103" s="7" t="s">
        <v>933</v>
      </c>
      <c r="B103" s="4" t="s">
        <v>2043</v>
      </c>
      <c r="C103" s="4" t="s">
        <v>2044</v>
      </c>
      <c r="D103" s="4" t="s">
        <v>62</v>
      </c>
      <c r="E103" s="4" t="s">
        <v>62</v>
      </c>
      <c r="F103" s="4" t="s">
        <v>2045</v>
      </c>
      <c r="G103" s="4" t="s">
        <v>2046</v>
      </c>
      <c r="H103" s="4" t="s">
        <v>62</v>
      </c>
      <c r="I103" s="4" t="s">
        <v>62</v>
      </c>
      <c r="J103" s="4" t="s">
        <v>2047</v>
      </c>
      <c r="K103" s="4" t="s">
        <v>2048</v>
      </c>
      <c r="L103" s="4" t="s">
        <v>62</v>
      </c>
      <c r="M103" s="4" t="s">
        <v>62</v>
      </c>
      <c r="N103" s="4" t="s">
        <v>2049</v>
      </c>
      <c r="O103" s="4" t="s">
        <v>2050</v>
      </c>
      <c r="P103" s="4" t="s">
        <v>62</v>
      </c>
      <c r="Q103" s="4" t="s">
        <v>62</v>
      </c>
    </row>
    <row r="104" spans="1:17" ht="43.2" x14ac:dyDescent="0.3">
      <c r="A104" s="4" t="s">
        <v>942</v>
      </c>
      <c r="B104" s="4"/>
      <c r="C104" s="4"/>
      <c r="D104" s="4"/>
      <c r="E104" s="4"/>
      <c r="F104" s="4"/>
      <c r="G104" s="4"/>
      <c r="H104" s="4"/>
      <c r="I104" s="4"/>
      <c r="J104" s="4"/>
      <c r="K104" s="4"/>
      <c r="L104" s="4"/>
      <c r="M104" s="4"/>
      <c r="N104" s="4"/>
      <c r="O104" s="4"/>
      <c r="P104" s="4"/>
      <c r="Q104" s="4"/>
    </row>
    <row r="105" spans="1:17" ht="43.2" x14ac:dyDescent="0.3">
      <c r="A105" s="6" t="s">
        <v>851</v>
      </c>
      <c r="B105" s="4" t="s">
        <v>1761</v>
      </c>
      <c r="C105" s="4" t="s">
        <v>1762</v>
      </c>
      <c r="D105" s="4" t="s">
        <v>1761</v>
      </c>
      <c r="E105" s="4" t="s">
        <v>62</v>
      </c>
      <c r="F105" s="4" t="s">
        <v>1764</v>
      </c>
      <c r="G105" s="4" t="s">
        <v>1765</v>
      </c>
      <c r="H105" s="4" t="s">
        <v>1764</v>
      </c>
      <c r="I105" s="4" t="s">
        <v>62</v>
      </c>
      <c r="J105" s="4" t="s">
        <v>1767</v>
      </c>
      <c r="K105" s="4" t="s">
        <v>1768</v>
      </c>
      <c r="L105" s="4" t="s">
        <v>1767</v>
      </c>
      <c r="M105" s="4" t="s">
        <v>62</v>
      </c>
      <c r="N105" s="4" t="s">
        <v>1770</v>
      </c>
      <c r="O105" s="4" t="s">
        <v>1771</v>
      </c>
      <c r="P105" s="4" t="s">
        <v>1770</v>
      </c>
      <c r="Q105" s="4" t="s">
        <v>62</v>
      </c>
    </row>
    <row r="106" spans="1:17" ht="86.4" x14ac:dyDescent="0.3">
      <c r="A106" s="7" t="s">
        <v>943</v>
      </c>
      <c r="B106" s="4" t="s">
        <v>2051</v>
      </c>
      <c r="C106" s="4" t="s">
        <v>2052</v>
      </c>
      <c r="D106" s="4" t="s">
        <v>2053</v>
      </c>
      <c r="E106" s="4" t="s">
        <v>2054</v>
      </c>
      <c r="F106" s="4" t="s">
        <v>2055</v>
      </c>
      <c r="G106" s="4" t="s">
        <v>2056</v>
      </c>
      <c r="H106" s="4" t="s">
        <v>2057</v>
      </c>
      <c r="I106" s="4" t="s">
        <v>946</v>
      </c>
      <c r="J106" s="4" t="s">
        <v>2058</v>
      </c>
      <c r="K106" s="4" t="s">
        <v>2059</v>
      </c>
      <c r="L106" s="4" t="s">
        <v>2060</v>
      </c>
      <c r="M106" s="4" t="s">
        <v>1144</v>
      </c>
      <c r="N106" s="4" t="s">
        <v>2061</v>
      </c>
      <c r="O106" s="4" t="s">
        <v>2062</v>
      </c>
      <c r="P106" s="4" t="s">
        <v>2063</v>
      </c>
      <c r="Q106" s="4" t="s">
        <v>117</v>
      </c>
    </row>
    <row r="107" spans="1:17" ht="100.8" x14ac:dyDescent="0.3">
      <c r="A107" s="7" t="s">
        <v>956</v>
      </c>
      <c r="B107" s="4" t="s">
        <v>2064</v>
      </c>
      <c r="C107" s="4" t="s">
        <v>2065</v>
      </c>
      <c r="D107" s="4" t="s">
        <v>2066</v>
      </c>
      <c r="E107" s="4" t="s">
        <v>2054</v>
      </c>
      <c r="F107" s="4" t="s">
        <v>2067</v>
      </c>
      <c r="G107" s="4" t="s">
        <v>2068</v>
      </c>
      <c r="H107" s="4" t="s">
        <v>1300</v>
      </c>
      <c r="I107" s="4" t="s">
        <v>946</v>
      </c>
      <c r="J107" s="4" t="s">
        <v>2069</v>
      </c>
      <c r="K107" s="4" t="s">
        <v>2070</v>
      </c>
      <c r="L107" s="4" t="s">
        <v>2071</v>
      </c>
      <c r="M107" s="4" t="s">
        <v>1144</v>
      </c>
      <c r="N107" s="4" t="s">
        <v>2072</v>
      </c>
      <c r="O107" s="4" t="s">
        <v>2073</v>
      </c>
      <c r="P107" s="4" t="s">
        <v>2074</v>
      </c>
      <c r="Q107" s="4" t="s">
        <v>117</v>
      </c>
    </row>
    <row r="108" spans="1:17" ht="100.8" x14ac:dyDescent="0.3">
      <c r="A108" s="4" t="s">
        <v>968</v>
      </c>
      <c r="B108" s="4"/>
      <c r="C108" s="4"/>
      <c r="D108" s="4"/>
      <c r="E108" s="4"/>
      <c r="F108" s="4"/>
      <c r="G108" s="4"/>
      <c r="H108" s="4"/>
      <c r="I108" s="4"/>
      <c r="J108" s="4"/>
      <c r="K108" s="4"/>
      <c r="L108" s="4"/>
      <c r="M108" s="4"/>
      <c r="N108" s="4"/>
      <c r="O108" s="4"/>
      <c r="P108" s="4"/>
      <c r="Q108" s="4"/>
    </row>
    <row r="109" spans="1:17" ht="72" x14ac:dyDescent="0.3">
      <c r="A109" s="6" t="s">
        <v>943</v>
      </c>
      <c r="B109" s="4" t="s">
        <v>2051</v>
      </c>
      <c r="C109" s="4" t="s">
        <v>2052</v>
      </c>
      <c r="D109" s="4" t="s">
        <v>2051</v>
      </c>
      <c r="E109" s="4" t="s">
        <v>62</v>
      </c>
      <c r="F109" s="4" t="s">
        <v>2055</v>
      </c>
      <c r="G109" s="4" t="s">
        <v>2056</v>
      </c>
      <c r="H109" s="4" t="s">
        <v>2055</v>
      </c>
      <c r="I109" s="4" t="s">
        <v>62</v>
      </c>
      <c r="J109" s="4" t="s">
        <v>2058</v>
      </c>
      <c r="K109" s="4" t="s">
        <v>2059</v>
      </c>
      <c r="L109" s="4" t="s">
        <v>2058</v>
      </c>
      <c r="M109" s="4" t="s">
        <v>62</v>
      </c>
      <c r="N109" s="4" t="s">
        <v>2061</v>
      </c>
      <c r="O109" s="4" t="s">
        <v>2062</v>
      </c>
      <c r="P109" s="4" t="s">
        <v>2061</v>
      </c>
      <c r="Q109" s="4" t="s">
        <v>62</v>
      </c>
    </row>
    <row r="110" spans="1:17" ht="43.2" x14ac:dyDescent="0.3">
      <c r="A110" s="7" t="s">
        <v>969</v>
      </c>
      <c r="B110" s="4" t="s">
        <v>2075</v>
      </c>
      <c r="C110" s="4" t="s">
        <v>2076</v>
      </c>
      <c r="D110" s="4" t="s">
        <v>131</v>
      </c>
      <c r="E110" s="4" t="s">
        <v>394</v>
      </c>
      <c r="F110" s="4" t="s">
        <v>2077</v>
      </c>
      <c r="G110" s="4" t="s">
        <v>840</v>
      </c>
      <c r="H110" s="4" t="s">
        <v>210</v>
      </c>
      <c r="I110" s="4" t="s">
        <v>100</v>
      </c>
      <c r="J110" s="4" t="s">
        <v>2078</v>
      </c>
      <c r="K110" s="4" t="s">
        <v>2079</v>
      </c>
      <c r="L110" s="4" t="s">
        <v>363</v>
      </c>
      <c r="M110" s="4" t="s">
        <v>73</v>
      </c>
      <c r="N110" s="4" t="s">
        <v>2080</v>
      </c>
      <c r="O110" s="4" t="s">
        <v>2081</v>
      </c>
      <c r="P110" s="4" t="s">
        <v>718</v>
      </c>
      <c r="Q110" s="4" t="s">
        <v>84</v>
      </c>
    </row>
    <row r="111" spans="1:17" ht="43.2" x14ac:dyDescent="0.3">
      <c r="A111" s="7" t="s">
        <v>978</v>
      </c>
      <c r="B111" s="4" t="s">
        <v>2082</v>
      </c>
      <c r="C111" s="4" t="s">
        <v>2083</v>
      </c>
      <c r="D111" s="4" t="s">
        <v>1990</v>
      </c>
      <c r="E111" s="4" t="s">
        <v>2084</v>
      </c>
      <c r="F111" s="4" t="s">
        <v>2085</v>
      </c>
      <c r="G111" s="4" t="s">
        <v>2086</v>
      </c>
      <c r="H111" s="4" t="s">
        <v>487</v>
      </c>
      <c r="I111" s="4" t="s">
        <v>407</v>
      </c>
      <c r="J111" s="4" t="s">
        <v>2087</v>
      </c>
      <c r="K111" s="4" t="s">
        <v>2088</v>
      </c>
      <c r="L111" s="4" t="s">
        <v>2089</v>
      </c>
      <c r="M111" s="4" t="s">
        <v>1471</v>
      </c>
      <c r="N111" s="4" t="s">
        <v>2090</v>
      </c>
      <c r="O111" s="4" t="s">
        <v>2091</v>
      </c>
      <c r="P111" s="4" t="s">
        <v>338</v>
      </c>
      <c r="Q111" s="4" t="s">
        <v>100</v>
      </c>
    </row>
    <row r="112" spans="1:17" ht="57.6" x14ac:dyDescent="0.3">
      <c r="A112" s="7" t="s">
        <v>991</v>
      </c>
      <c r="B112" s="4" t="s">
        <v>2092</v>
      </c>
      <c r="C112" s="4" t="s">
        <v>2093</v>
      </c>
      <c r="D112" s="4" t="s">
        <v>913</v>
      </c>
      <c r="E112" s="4" t="s">
        <v>2094</v>
      </c>
      <c r="F112" s="4" t="s">
        <v>2095</v>
      </c>
      <c r="G112" s="4" t="s">
        <v>2096</v>
      </c>
      <c r="H112" s="4" t="s">
        <v>2097</v>
      </c>
      <c r="I112" s="4" t="s">
        <v>1382</v>
      </c>
      <c r="J112" s="4" t="s">
        <v>2098</v>
      </c>
      <c r="K112" s="4" t="s">
        <v>2099</v>
      </c>
      <c r="L112" s="4" t="s">
        <v>2100</v>
      </c>
      <c r="M112" s="4" t="s">
        <v>2020</v>
      </c>
      <c r="N112" s="4" t="s">
        <v>2101</v>
      </c>
      <c r="O112" s="4" t="s">
        <v>2102</v>
      </c>
      <c r="P112" s="4" t="s">
        <v>262</v>
      </c>
      <c r="Q112" s="4" t="s">
        <v>117</v>
      </c>
    </row>
    <row r="113" spans="1:17" ht="57.6" x14ac:dyDescent="0.3">
      <c r="A113" s="7" t="s">
        <v>1003</v>
      </c>
      <c r="B113" s="4" t="s">
        <v>2103</v>
      </c>
      <c r="C113" s="4" t="s">
        <v>2104</v>
      </c>
      <c r="D113" s="4" t="s">
        <v>406</v>
      </c>
      <c r="E113" s="4" t="s">
        <v>2105</v>
      </c>
      <c r="F113" s="4" t="s">
        <v>2106</v>
      </c>
      <c r="G113" s="4" t="s">
        <v>2107</v>
      </c>
      <c r="H113" s="4" t="s">
        <v>2011</v>
      </c>
      <c r="I113" s="4" t="s">
        <v>1507</v>
      </c>
      <c r="J113" s="4" t="s">
        <v>2108</v>
      </c>
      <c r="K113" s="4" t="s">
        <v>2109</v>
      </c>
      <c r="L113" s="4" t="s">
        <v>1587</v>
      </c>
      <c r="M113" s="4" t="s">
        <v>1653</v>
      </c>
      <c r="N113" s="4" t="s">
        <v>2110</v>
      </c>
      <c r="O113" s="4" t="s">
        <v>2111</v>
      </c>
      <c r="P113" s="4" t="s">
        <v>1813</v>
      </c>
      <c r="Q113" s="4" t="s">
        <v>107</v>
      </c>
    </row>
    <row r="114" spans="1:17" ht="57.6" x14ac:dyDescent="0.3">
      <c r="A114" s="7" t="s">
        <v>1014</v>
      </c>
      <c r="B114" s="4" t="s">
        <v>2112</v>
      </c>
      <c r="C114" s="4" t="s">
        <v>249</v>
      </c>
      <c r="D114" s="4" t="s">
        <v>2113</v>
      </c>
      <c r="E114" s="4" t="s">
        <v>2114</v>
      </c>
      <c r="F114" s="4" t="s">
        <v>2115</v>
      </c>
      <c r="G114" s="4" t="s">
        <v>2116</v>
      </c>
      <c r="H114" s="4" t="s">
        <v>609</v>
      </c>
      <c r="I114" s="4" t="s">
        <v>1144</v>
      </c>
      <c r="J114" s="4" t="s">
        <v>2117</v>
      </c>
      <c r="K114" s="4" t="s">
        <v>455</v>
      </c>
      <c r="L114" s="4" t="s">
        <v>291</v>
      </c>
      <c r="M114" s="4" t="s">
        <v>1572</v>
      </c>
      <c r="N114" s="4" t="s">
        <v>2118</v>
      </c>
      <c r="O114" s="4" t="s">
        <v>2119</v>
      </c>
      <c r="P114" s="4" t="s">
        <v>525</v>
      </c>
      <c r="Q114" s="4" t="s">
        <v>407</v>
      </c>
    </row>
    <row r="115" spans="1:17" ht="57.6" x14ac:dyDescent="0.3">
      <c r="A115" s="7" t="s">
        <v>1026</v>
      </c>
      <c r="B115" s="4" t="s">
        <v>780</v>
      </c>
      <c r="C115" s="4" t="s">
        <v>1915</v>
      </c>
      <c r="D115" s="4" t="s">
        <v>319</v>
      </c>
      <c r="E115" s="4" t="s">
        <v>2105</v>
      </c>
      <c r="F115" s="4" t="s">
        <v>2120</v>
      </c>
      <c r="G115" s="4" t="s">
        <v>2121</v>
      </c>
      <c r="H115" s="4" t="s">
        <v>325</v>
      </c>
      <c r="I115" s="4" t="s">
        <v>946</v>
      </c>
      <c r="J115" s="4" t="s">
        <v>2122</v>
      </c>
      <c r="K115" s="4" t="s">
        <v>2123</v>
      </c>
      <c r="L115" s="4" t="s">
        <v>174</v>
      </c>
      <c r="M115" s="4" t="s">
        <v>394</v>
      </c>
      <c r="N115" s="4" t="s">
        <v>2124</v>
      </c>
      <c r="O115" s="4" t="s">
        <v>2125</v>
      </c>
      <c r="P115" s="4" t="s">
        <v>450</v>
      </c>
      <c r="Q115" s="4" t="s">
        <v>73</v>
      </c>
    </row>
    <row r="116" spans="1:17" ht="43.2" x14ac:dyDescent="0.3">
      <c r="A116" s="7" t="s">
        <v>1038</v>
      </c>
      <c r="B116" s="4" t="s">
        <v>2126</v>
      </c>
      <c r="C116" s="4" t="s">
        <v>1992</v>
      </c>
      <c r="D116" s="4" t="s">
        <v>1392</v>
      </c>
      <c r="E116" s="4" t="s">
        <v>1245</v>
      </c>
      <c r="F116" s="4" t="s">
        <v>2127</v>
      </c>
      <c r="G116" s="4" t="s">
        <v>2128</v>
      </c>
      <c r="H116" s="4" t="s">
        <v>1381</v>
      </c>
      <c r="I116" s="4" t="s">
        <v>1074</v>
      </c>
      <c r="J116" s="4" t="s">
        <v>2129</v>
      </c>
      <c r="K116" s="4" t="s">
        <v>2130</v>
      </c>
      <c r="L116" s="4" t="s">
        <v>268</v>
      </c>
      <c r="M116" s="4" t="s">
        <v>1572</v>
      </c>
      <c r="N116" s="4" t="s">
        <v>2131</v>
      </c>
      <c r="O116" s="4" t="s">
        <v>2132</v>
      </c>
      <c r="P116" s="4" t="s">
        <v>864</v>
      </c>
      <c r="Q116" s="4" t="s">
        <v>73</v>
      </c>
    </row>
    <row r="117" spans="1:17" ht="57.6" x14ac:dyDescent="0.3">
      <c r="A117" s="7" t="s">
        <v>933</v>
      </c>
      <c r="B117" s="4" t="s">
        <v>2133</v>
      </c>
      <c r="C117" s="4" t="s">
        <v>2134</v>
      </c>
      <c r="D117" s="4" t="s">
        <v>62</v>
      </c>
      <c r="E117" s="4" t="s">
        <v>62</v>
      </c>
      <c r="F117" s="4" t="s">
        <v>2135</v>
      </c>
      <c r="G117" s="4" t="s">
        <v>2136</v>
      </c>
      <c r="H117" s="4" t="s">
        <v>62</v>
      </c>
      <c r="I117" s="4" t="s">
        <v>62</v>
      </c>
      <c r="J117" s="4" t="s">
        <v>2137</v>
      </c>
      <c r="K117" s="4" t="s">
        <v>2138</v>
      </c>
      <c r="L117" s="4" t="s">
        <v>62</v>
      </c>
      <c r="M117" s="4" t="s">
        <v>62</v>
      </c>
      <c r="N117" s="4" t="s">
        <v>2139</v>
      </c>
      <c r="O117" s="4" t="s">
        <v>1048</v>
      </c>
      <c r="P117" s="4" t="s">
        <v>62</v>
      </c>
      <c r="Q117" s="4" t="s">
        <v>62</v>
      </c>
    </row>
    <row r="118" spans="1:17" ht="86.4" x14ac:dyDescent="0.3">
      <c r="A118" s="6" t="s">
        <v>956</v>
      </c>
      <c r="B118" s="4" t="s">
        <v>2064</v>
      </c>
      <c r="C118" s="4" t="s">
        <v>2065</v>
      </c>
      <c r="D118" s="4" t="s">
        <v>2064</v>
      </c>
      <c r="E118" s="4" t="s">
        <v>62</v>
      </c>
      <c r="F118" s="4" t="s">
        <v>2067</v>
      </c>
      <c r="G118" s="4" t="s">
        <v>2068</v>
      </c>
      <c r="H118" s="4" t="s">
        <v>2067</v>
      </c>
      <c r="I118" s="4" t="s">
        <v>62</v>
      </c>
      <c r="J118" s="4" t="s">
        <v>2069</v>
      </c>
      <c r="K118" s="4" t="s">
        <v>2070</v>
      </c>
      <c r="L118" s="4" t="s">
        <v>2069</v>
      </c>
      <c r="M118" s="4" t="s">
        <v>62</v>
      </c>
      <c r="N118" s="4" t="s">
        <v>2072</v>
      </c>
      <c r="O118" s="4" t="s">
        <v>2073</v>
      </c>
      <c r="P118" s="4" t="s">
        <v>2072</v>
      </c>
      <c r="Q118" s="4" t="s">
        <v>62</v>
      </c>
    </row>
    <row r="119" spans="1:17" ht="43.2" x14ac:dyDescent="0.3">
      <c r="A119" s="7" t="s">
        <v>1055</v>
      </c>
      <c r="B119" s="4" t="s">
        <v>2140</v>
      </c>
      <c r="C119" s="4" t="s">
        <v>2141</v>
      </c>
      <c r="D119" s="4" t="s">
        <v>338</v>
      </c>
      <c r="E119" s="4" t="s">
        <v>1507</v>
      </c>
      <c r="F119" s="4" t="s">
        <v>2142</v>
      </c>
      <c r="G119" s="4" t="s">
        <v>1072</v>
      </c>
      <c r="H119" s="4" t="s">
        <v>1408</v>
      </c>
      <c r="I119" s="4" t="s">
        <v>664</v>
      </c>
      <c r="J119" s="4" t="s">
        <v>2143</v>
      </c>
      <c r="K119" s="4" t="s">
        <v>2144</v>
      </c>
      <c r="L119" s="4" t="s">
        <v>457</v>
      </c>
      <c r="M119" s="4" t="s">
        <v>1382</v>
      </c>
      <c r="N119" s="4" t="s">
        <v>2145</v>
      </c>
      <c r="O119" s="4" t="s">
        <v>582</v>
      </c>
      <c r="P119" s="4" t="s">
        <v>1029</v>
      </c>
      <c r="Q119" s="4" t="s">
        <v>407</v>
      </c>
    </row>
    <row r="120" spans="1:17" ht="43.2" x14ac:dyDescent="0.3">
      <c r="A120" s="7" t="s">
        <v>1066</v>
      </c>
      <c r="B120" s="4" t="s">
        <v>2146</v>
      </c>
      <c r="C120" s="4" t="s">
        <v>2147</v>
      </c>
      <c r="D120" s="4" t="s">
        <v>891</v>
      </c>
      <c r="E120" s="4" t="s">
        <v>2148</v>
      </c>
      <c r="F120" s="4" t="s">
        <v>2149</v>
      </c>
      <c r="G120" s="4" t="s">
        <v>2150</v>
      </c>
      <c r="H120" s="4" t="s">
        <v>2151</v>
      </c>
      <c r="I120" s="4" t="s">
        <v>1572</v>
      </c>
      <c r="J120" s="4" t="s">
        <v>2152</v>
      </c>
      <c r="K120" s="4" t="s">
        <v>237</v>
      </c>
      <c r="L120" s="4" t="s">
        <v>1566</v>
      </c>
      <c r="M120" s="4" t="s">
        <v>2153</v>
      </c>
      <c r="N120" s="4" t="s">
        <v>2154</v>
      </c>
      <c r="O120" s="4" t="s">
        <v>2155</v>
      </c>
      <c r="P120" s="4" t="s">
        <v>654</v>
      </c>
      <c r="Q120" s="4" t="s">
        <v>617</v>
      </c>
    </row>
    <row r="121" spans="1:17" ht="43.2" x14ac:dyDescent="0.3">
      <c r="A121" s="7" t="s">
        <v>1080</v>
      </c>
      <c r="B121" s="4" t="s">
        <v>2156</v>
      </c>
      <c r="C121" s="4" t="s">
        <v>1213</v>
      </c>
      <c r="D121" s="4" t="s">
        <v>2074</v>
      </c>
      <c r="E121" s="4" t="s">
        <v>2157</v>
      </c>
      <c r="F121" s="4" t="s">
        <v>2158</v>
      </c>
      <c r="G121" s="4" t="s">
        <v>1852</v>
      </c>
      <c r="H121" s="4" t="s">
        <v>2159</v>
      </c>
      <c r="I121" s="4" t="s">
        <v>1418</v>
      </c>
      <c r="J121" s="4" t="s">
        <v>2160</v>
      </c>
      <c r="K121" s="4" t="s">
        <v>1012</v>
      </c>
      <c r="L121" s="4" t="s">
        <v>2161</v>
      </c>
      <c r="M121" s="4" t="s">
        <v>2094</v>
      </c>
      <c r="N121" s="4" t="s">
        <v>2162</v>
      </c>
      <c r="O121" s="4" t="s">
        <v>2163</v>
      </c>
      <c r="P121" s="4" t="s">
        <v>1102</v>
      </c>
      <c r="Q121" s="4" t="s">
        <v>107</v>
      </c>
    </row>
    <row r="122" spans="1:17" ht="43.2" x14ac:dyDescent="0.3">
      <c r="A122" s="7" t="s">
        <v>1093</v>
      </c>
      <c r="B122" s="4" t="s">
        <v>1538</v>
      </c>
      <c r="C122" s="4" t="s">
        <v>2164</v>
      </c>
      <c r="D122" s="4" t="s">
        <v>2165</v>
      </c>
      <c r="E122" s="4" t="s">
        <v>2166</v>
      </c>
      <c r="F122" s="4" t="s">
        <v>2167</v>
      </c>
      <c r="G122" s="4" t="s">
        <v>2168</v>
      </c>
      <c r="H122" s="4" t="s">
        <v>406</v>
      </c>
      <c r="I122" s="4" t="s">
        <v>1058</v>
      </c>
      <c r="J122" s="4" t="s">
        <v>2169</v>
      </c>
      <c r="K122" s="4" t="s">
        <v>2170</v>
      </c>
      <c r="L122" s="4" t="s">
        <v>2171</v>
      </c>
      <c r="M122" s="4" t="s">
        <v>1070</v>
      </c>
      <c r="N122" s="4" t="s">
        <v>2172</v>
      </c>
      <c r="O122" s="4" t="s">
        <v>2173</v>
      </c>
      <c r="P122" s="4" t="s">
        <v>1802</v>
      </c>
      <c r="Q122" s="4" t="s">
        <v>1074</v>
      </c>
    </row>
    <row r="123" spans="1:17" ht="43.2" x14ac:dyDescent="0.3">
      <c r="A123" s="7" t="s">
        <v>1103</v>
      </c>
      <c r="B123" s="4" t="s">
        <v>2174</v>
      </c>
      <c r="C123" s="4" t="s">
        <v>2175</v>
      </c>
      <c r="D123" s="4" t="s">
        <v>1720</v>
      </c>
      <c r="E123" s="4" t="s">
        <v>1799</v>
      </c>
      <c r="F123" s="4" t="s">
        <v>2176</v>
      </c>
      <c r="G123" s="4" t="s">
        <v>2109</v>
      </c>
      <c r="H123" s="4" t="s">
        <v>1392</v>
      </c>
      <c r="I123" s="4" t="s">
        <v>982</v>
      </c>
      <c r="J123" s="4" t="s">
        <v>2177</v>
      </c>
      <c r="K123" s="4" t="s">
        <v>2178</v>
      </c>
      <c r="L123" s="4" t="s">
        <v>990</v>
      </c>
      <c r="M123" s="4" t="s">
        <v>982</v>
      </c>
      <c r="N123" s="4" t="s">
        <v>2179</v>
      </c>
      <c r="O123" s="4" t="s">
        <v>2180</v>
      </c>
      <c r="P123" s="4" t="s">
        <v>1159</v>
      </c>
      <c r="Q123" s="4" t="s">
        <v>107</v>
      </c>
    </row>
    <row r="124" spans="1:17" ht="43.2" x14ac:dyDescent="0.3">
      <c r="A124" s="7" t="s">
        <v>1113</v>
      </c>
      <c r="B124" s="4" t="s">
        <v>2181</v>
      </c>
      <c r="C124" s="4" t="s">
        <v>534</v>
      </c>
      <c r="D124" s="4" t="s">
        <v>2182</v>
      </c>
      <c r="E124" s="4" t="s">
        <v>2183</v>
      </c>
      <c r="F124" s="4" t="s">
        <v>2184</v>
      </c>
      <c r="G124" s="4" t="s">
        <v>1299</v>
      </c>
      <c r="H124" s="4" t="s">
        <v>2185</v>
      </c>
      <c r="I124" s="4" t="s">
        <v>1144</v>
      </c>
      <c r="J124" s="4" t="s">
        <v>2186</v>
      </c>
      <c r="K124" s="4" t="s">
        <v>2187</v>
      </c>
      <c r="L124" s="4" t="s">
        <v>2188</v>
      </c>
      <c r="M124" s="4" t="s">
        <v>1418</v>
      </c>
      <c r="N124" s="4" t="s">
        <v>2189</v>
      </c>
      <c r="O124" s="4" t="s">
        <v>2190</v>
      </c>
      <c r="P124" s="4" t="s">
        <v>500</v>
      </c>
      <c r="Q124" s="4" t="s">
        <v>982</v>
      </c>
    </row>
    <row r="125" spans="1:17" ht="57.6" x14ac:dyDescent="0.3">
      <c r="A125" s="7" t="s">
        <v>933</v>
      </c>
      <c r="B125" s="4" t="s">
        <v>2191</v>
      </c>
      <c r="C125" s="4" t="s">
        <v>2192</v>
      </c>
      <c r="D125" s="4" t="s">
        <v>62</v>
      </c>
      <c r="E125" s="4" t="s">
        <v>62</v>
      </c>
      <c r="F125" s="4" t="s">
        <v>2193</v>
      </c>
      <c r="G125" s="4" t="s">
        <v>746</v>
      </c>
      <c r="H125" s="4" t="s">
        <v>62</v>
      </c>
      <c r="I125" s="4" t="s">
        <v>62</v>
      </c>
      <c r="J125" s="4" t="s">
        <v>1128</v>
      </c>
      <c r="K125" s="4" t="s">
        <v>2194</v>
      </c>
      <c r="L125" s="4" t="s">
        <v>62</v>
      </c>
      <c r="M125" s="4" t="s">
        <v>62</v>
      </c>
      <c r="N125" s="4" t="s">
        <v>2195</v>
      </c>
      <c r="O125" s="4" t="s">
        <v>2196</v>
      </c>
      <c r="P125" s="4" t="s">
        <v>62</v>
      </c>
      <c r="Q125" s="4" t="s">
        <v>62</v>
      </c>
    </row>
    <row r="126" spans="1:17" ht="201.6" x14ac:dyDescent="0.3">
      <c r="A126" s="4" t="s">
        <v>1130</v>
      </c>
      <c r="B126" s="4"/>
      <c r="C126" s="4"/>
      <c r="D126" s="4"/>
      <c r="E126" s="4"/>
      <c r="F126" s="4"/>
      <c r="G126" s="4"/>
      <c r="H126" s="4"/>
      <c r="I126" s="4"/>
      <c r="J126" s="4"/>
      <c r="K126" s="4"/>
      <c r="L126" s="4"/>
      <c r="M126" s="4"/>
      <c r="N126" s="4"/>
      <c r="O126" s="4"/>
      <c r="P126" s="4"/>
      <c r="Q126" s="4"/>
    </row>
    <row r="127" spans="1:17" ht="201.6" x14ac:dyDescent="0.3">
      <c r="A127" s="6" t="s">
        <v>1131</v>
      </c>
      <c r="B127" s="4" t="s">
        <v>2197</v>
      </c>
      <c r="C127" s="4" t="s">
        <v>2198</v>
      </c>
      <c r="D127" s="4" t="s">
        <v>2197</v>
      </c>
      <c r="E127" s="4" t="s">
        <v>62</v>
      </c>
      <c r="F127" s="4" t="s">
        <v>2199</v>
      </c>
      <c r="G127" s="4" t="s">
        <v>2200</v>
      </c>
      <c r="H127" s="4" t="s">
        <v>2199</v>
      </c>
      <c r="I127" s="4" t="s">
        <v>62</v>
      </c>
      <c r="J127" s="4" t="s">
        <v>2201</v>
      </c>
      <c r="K127" s="4" t="s">
        <v>2202</v>
      </c>
      <c r="L127" s="4" t="s">
        <v>2201</v>
      </c>
      <c r="M127" s="4" t="s">
        <v>62</v>
      </c>
      <c r="N127" s="4" t="s">
        <v>2203</v>
      </c>
      <c r="O127" s="4" t="s">
        <v>2204</v>
      </c>
      <c r="P127" s="4" t="s">
        <v>2203</v>
      </c>
      <c r="Q127" s="4" t="s">
        <v>62</v>
      </c>
    </row>
    <row r="128" spans="1:17" ht="72" x14ac:dyDescent="0.3">
      <c r="A128" s="7" t="s">
        <v>1140</v>
      </c>
      <c r="B128" s="4" t="s">
        <v>2205</v>
      </c>
      <c r="C128" s="4" t="s">
        <v>2206</v>
      </c>
      <c r="D128" s="4" t="s">
        <v>2207</v>
      </c>
      <c r="E128" s="4" t="s">
        <v>2208</v>
      </c>
      <c r="F128" s="4" t="s">
        <v>2209</v>
      </c>
      <c r="G128" s="4" t="s">
        <v>2210</v>
      </c>
      <c r="H128" s="4" t="s">
        <v>2211</v>
      </c>
      <c r="I128" s="4" t="s">
        <v>1471</v>
      </c>
      <c r="J128" s="4" t="s">
        <v>2212</v>
      </c>
      <c r="K128" s="4" t="s">
        <v>2213</v>
      </c>
      <c r="L128" s="4" t="s">
        <v>2214</v>
      </c>
      <c r="M128" s="4" t="s">
        <v>2215</v>
      </c>
      <c r="N128" s="4" t="s">
        <v>2216</v>
      </c>
      <c r="O128" s="4" t="s">
        <v>2217</v>
      </c>
      <c r="P128" s="4" t="s">
        <v>2218</v>
      </c>
      <c r="Q128" s="4" t="s">
        <v>664</v>
      </c>
    </row>
    <row r="129" spans="1:17" ht="72" x14ac:dyDescent="0.3">
      <c r="A129" s="7" t="s">
        <v>1152</v>
      </c>
      <c r="B129" s="4" t="s">
        <v>2219</v>
      </c>
      <c r="C129" s="4" t="s">
        <v>163</v>
      </c>
      <c r="D129" s="4" t="s">
        <v>2188</v>
      </c>
      <c r="E129" s="4" t="s">
        <v>2114</v>
      </c>
      <c r="F129" s="4" t="s">
        <v>2220</v>
      </c>
      <c r="G129" s="4" t="s">
        <v>2221</v>
      </c>
      <c r="H129" s="4" t="s">
        <v>695</v>
      </c>
      <c r="I129" s="4" t="s">
        <v>1382</v>
      </c>
      <c r="J129" s="4" t="s">
        <v>2222</v>
      </c>
      <c r="K129" s="4" t="s">
        <v>2223</v>
      </c>
      <c r="L129" s="4" t="s">
        <v>645</v>
      </c>
      <c r="M129" s="4" t="s">
        <v>1418</v>
      </c>
      <c r="N129" s="4" t="s">
        <v>2224</v>
      </c>
      <c r="O129" s="4" t="s">
        <v>2225</v>
      </c>
      <c r="P129" s="4" t="s">
        <v>690</v>
      </c>
      <c r="Q129" s="4" t="s">
        <v>117</v>
      </c>
    </row>
    <row r="130" spans="1:17" ht="72" x14ac:dyDescent="0.3">
      <c r="A130" s="7" t="s">
        <v>1162</v>
      </c>
      <c r="B130" s="4" t="s">
        <v>2226</v>
      </c>
      <c r="C130" s="4" t="s">
        <v>2227</v>
      </c>
      <c r="D130" s="4" t="s">
        <v>1017</v>
      </c>
      <c r="E130" s="4" t="s">
        <v>2228</v>
      </c>
      <c r="F130" s="4" t="s">
        <v>2229</v>
      </c>
      <c r="G130" s="4" t="s">
        <v>2230</v>
      </c>
      <c r="H130" s="4" t="s">
        <v>1041</v>
      </c>
      <c r="I130" s="4" t="s">
        <v>107</v>
      </c>
      <c r="J130" s="4" t="s">
        <v>2231</v>
      </c>
      <c r="K130" s="4" t="s">
        <v>2232</v>
      </c>
      <c r="L130" s="4" t="s">
        <v>386</v>
      </c>
      <c r="M130" s="4" t="s">
        <v>1058</v>
      </c>
      <c r="N130" s="4" t="s">
        <v>2233</v>
      </c>
      <c r="O130" s="4" t="s">
        <v>2234</v>
      </c>
      <c r="P130" s="4" t="s">
        <v>319</v>
      </c>
      <c r="Q130" s="4" t="s">
        <v>117</v>
      </c>
    </row>
    <row r="131" spans="1:17" ht="72" x14ac:dyDescent="0.3">
      <c r="A131" s="7" t="s">
        <v>1171</v>
      </c>
      <c r="B131" s="4" t="s">
        <v>2235</v>
      </c>
      <c r="C131" s="4" t="s">
        <v>2236</v>
      </c>
      <c r="D131" s="4" t="s">
        <v>206</v>
      </c>
      <c r="E131" s="4" t="s">
        <v>2215</v>
      </c>
      <c r="F131" s="4" t="s">
        <v>2237</v>
      </c>
      <c r="G131" s="4" t="s">
        <v>2238</v>
      </c>
      <c r="H131" s="4" t="s">
        <v>442</v>
      </c>
      <c r="I131" s="4" t="s">
        <v>107</v>
      </c>
      <c r="J131" s="4" t="s">
        <v>2239</v>
      </c>
      <c r="K131" s="4" t="s">
        <v>2240</v>
      </c>
      <c r="L131" s="4" t="s">
        <v>1522</v>
      </c>
      <c r="M131" s="4" t="s">
        <v>946</v>
      </c>
      <c r="N131" s="4" t="s">
        <v>2241</v>
      </c>
      <c r="O131" s="4" t="s">
        <v>2242</v>
      </c>
      <c r="P131" s="4" t="s">
        <v>180</v>
      </c>
      <c r="Q131" s="4" t="s">
        <v>158</v>
      </c>
    </row>
    <row r="132" spans="1:17" ht="57.6" x14ac:dyDescent="0.3">
      <c r="A132" s="7" t="s">
        <v>1180</v>
      </c>
      <c r="B132" s="4" t="s">
        <v>2243</v>
      </c>
      <c r="C132" s="4" t="s">
        <v>2244</v>
      </c>
      <c r="D132" s="4" t="s">
        <v>519</v>
      </c>
      <c r="E132" s="4" t="s">
        <v>2094</v>
      </c>
      <c r="F132" s="4" t="s">
        <v>2245</v>
      </c>
      <c r="G132" s="4" t="s">
        <v>2246</v>
      </c>
      <c r="H132" s="4" t="s">
        <v>2247</v>
      </c>
      <c r="I132" s="4" t="s">
        <v>1572</v>
      </c>
      <c r="J132" s="4" t="s">
        <v>2248</v>
      </c>
      <c r="K132" s="4" t="s">
        <v>2249</v>
      </c>
      <c r="L132" s="4" t="s">
        <v>2250</v>
      </c>
      <c r="M132" s="4" t="s">
        <v>1866</v>
      </c>
      <c r="N132" s="4" t="s">
        <v>2251</v>
      </c>
      <c r="O132" s="4" t="s">
        <v>2252</v>
      </c>
      <c r="P132" s="4" t="s">
        <v>2253</v>
      </c>
      <c r="Q132" s="4" t="s">
        <v>617</v>
      </c>
    </row>
    <row r="133" spans="1:17" ht="43.2" x14ac:dyDescent="0.3">
      <c r="A133" s="7" t="s">
        <v>1191</v>
      </c>
      <c r="B133" s="4" t="s">
        <v>2254</v>
      </c>
      <c r="C133" s="4" t="s">
        <v>2255</v>
      </c>
      <c r="D133" s="4" t="s">
        <v>62</v>
      </c>
      <c r="E133" s="4" t="s">
        <v>62</v>
      </c>
      <c r="F133" s="4" t="s">
        <v>2256</v>
      </c>
      <c r="G133" s="4" t="s">
        <v>2257</v>
      </c>
      <c r="H133" s="4" t="s">
        <v>62</v>
      </c>
      <c r="I133" s="4" t="s">
        <v>62</v>
      </c>
      <c r="J133" s="4" t="s">
        <v>2258</v>
      </c>
      <c r="K133" s="4" t="s">
        <v>1923</v>
      </c>
      <c r="L133" s="4" t="s">
        <v>62</v>
      </c>
      <c r="M133" s="4" t="s">
        <v>62</v>
      </c>
      <c r="N133" s="4" t="s">
        <v>2259</v>
      </c>
      <c r="O133" s="4" t="s">
        <v>1360</v>
      </c>
      <c r="P133" s="4" t="s">
        <v>62</v>
      </c>
      <c r="Q133" s="4" t="s">
        <v>62</v>
      </c>
    </row>
    <row r="134" spans="1:17" ht="216" x14ac:dyDescent="0.3">
      <c r="A134" s="6" t="s">
        <v>1200</v>
      </c>
      <c r="B134" s="4" t="s">
        <v>2260</v>
      </c>
      <c r="C134" s="4" t="s">
        <v>2261</v>
      </c>
      <c r="D134" s="4" t="s">
        <v>2260</v>
      </c>
      <c r="E134" s="4" t="s">
        <v>62</v>
      </c>
      <c r="F134" s="4" t="s">
        <v>2262</v>
      </c>
      <c r="G134" s="4" t="s">
        <v>2263</v>
      </c>
      <c r="H134" s="4" t="s">
        <v>2262</v>
      </c>
      <c r="I134" s="4" t="s">
        <v>62</v>
      </c>
      <c r="J134" s="4" t="s">
        <v>2264</v>
      </c>
      <c r="K134" s="4" t="s">
        <v>2265</v>
      </c>
      <c r="L134" s="4" t="s">
        <v>2264</v>
      </c>
      <c r="M134" s="4" t="s">
        <v>62</v>
      </c>
      <c r="N134" s="4" t="s">
        <v>2266</v>
      </c>
      <c r="O134" s="4" t="s">
        <v>2267</v>
      </c>
      <c r="P134" s="4" t="s">
        <v>2266</v>
      </c>
      <c r="Q134" s="4" t="s">
        <v>62</v>
      </c>
    </row>
    <row r="135" spans="1:17" ht="72" x14ac:dyDescent="0.3">
      <c r="A135" s="7" t="s">
        <v>1208</v>
      </c>
      <c r="B135" s="4" t="s">
        <v>2268</v>
      </c>
      <c r="C135" s="4" t="s">
        <v>2269</v>
      </c>
      <c r="D135" s="4" t="s">
        <v>2270</v>
      </c>
      <c r="E135" s="4" t="s">
        <v>2271</v>
      </c>
      <c r="F135" s="4" t="s">
        <v>2272</v>
      </c>
      <c r="G135" s="4" t="s">
        <v>2273</v>
      </c>
      <c r="H135" s="4" t="s">
        <v>2274</v>
      </c>
      <c r="I135" s="4" t="s">
        <v>1799</v>
      </c>
      <c r="J135" s="4" t="s">
        <v>2275</v>
      </c>
      <c r="K135" s="4" t="s">
        <v>2276</v>
      </c>
      <c r="L135" s="4" t="s">
        <v>2277</v>
      </c>
      <c r="M135" s="4" t="s">
        <v>2094</v>
      </c>
      <c r="N135" s="4" t="s">
        <v>2278</v>
      </c>
      <c r="O135" s="4" t="s">
        <v>2279</v>
      </c>
      <c r="P135" s="4" t="s">
        <v>2280</v>
      </c>
      <c r="Q135" s="4" t="s">
        <v>1418</v>
      </c>
    </row>
    <row r="136" spans="1:17" ht="72" x14ac:dyDescent="0.3">
      <c r="A136" s="7" t="s">
        <v>1221</v>
      </c>
      <c r="B136" s="4" t="s">
        <v>2281</v>
      </c>
      <c r="C136" s="4" t="s">
        <v>2282</v>
      </c>
      <c r="D136" s="4" t="s">
        <v>2283</v>
      </c>
      <c r="E136" s="4" t="s">
        <v>2166</v>
      </c>
      <c r="F136" s="4" t="s">
        <v>2284</v>
      </c>
      <c r="G136" s="4" t="s">
        <v>2285</v>
      </c>
      <c r="H136" s="4" t="s">
        <v>406</v>
      </c>
      <c r="I136" s="4" t="s">
        <v>1653</v>
      </c>
      <c r="J136" s="4" t="s">
        <v>2286</v>
      </c>
      <c r="K136" s="4" t="s">
        <v>2287</v>
      </c>
      <c r="L136" s="4" t="s">
        <v>1325</v>
      </c>
      <c r="M136" s="4" t="s">
        <v>1070</v>
      </c>
      <c r="N136" s="4" t="s">
        <v>2288</v>
      </c>
      <c r="O136" s="4" t="s">
        <v>679</v>
      </c>
      <c r="P136" s="4" t="s">
        <v>609</v>
      </c>
      <c r="Q136" s="4" t="s">
        <v>591</v>
      </c>
    </row>
    <row r="137" spans="1:17" ht="72" x14ac:dyDescent="0.3">
      <c r="A137" s="7" t="s">
        <v>1233</v>
      </c>
      <c r="B137" s="4" t="s">
        <v>2289</v>
      </c>
      <c r="C137" s="4" t="s">
        <v>1216</v>
      </c>
      <c r="D137" s="4" t="s">
        <v>439</v>
      </c>
      <c r="E137" s="4" t="s">
        <v>2290</v>
      </c>
      <c r="F137" s="4" t="s">
        <v>2291</v>
      </c>
      <c r="G137" s="4" t="s">
        <v>2292</v>
      </c>
      <c r="H137" s="4" t="s">
        <v>923</v>
      </c>
      <c r="I137" s="4" t="s">
        <v>591</v>
      </c>
      <c r="J137" s="4" t="s">
        <v>2293</v>
      </c>
      <c r="K137" s="4" t="s">
        <v>2294</v>
      </c>
      <c r="L137" s="4" t="s">
        <v>1720</v>
      </c>
      <c r="M137" s="4" t="s">
        <v>1418</v>
      </c>
      <c r="N137" s="4" t="s">
        <v>2295</v>
      </c>
      <c r="O137" s="4" t="s">
        <v>2296</v>
      </c>
      <c r="P137" s="4" t="s">
        <v>200</v>
      </c>
      <c r="Q137" s="4" t="s">
        <v>407</v>
      </c>
    </row>
    <row r="138" spans="1:17" ht="72" x14ac:dyDescent="0.3">
      <c r="A138" s="7" t="s">
        <v>1152</v>
      </c>
      <c r="B138" s="4" t="s">
        <v>2297</v>
      </c>
      <c r="C138" s="4" t="s">
        <v>2298</v>
      </c>
      <c r="D138" s="4" t="s">
        <v>1522</v>
      </c>
      <c r="E138" s="4" t="s">
        <v>2299</v>
      </c>
      <c r="F138" s="4" t="s">
        <v>2300</v>
      </c>
      <c r="G138" s="4" t="s">
        <v>2301</v>
      </c>
      <c r="H138" s="4" t="s">
        <v>1322</v>
      </c>
      <c r="I138" s="4" t="s">
        <v>107</v>
      </c>
      <c r="J138" s="4" t="s">
        <v>2302</v>
      </c>
      <c r="K138" s="4" t="s">
        <v>2303</v>
      </c>
      <c r="L138" s="4" t="s">
        <v>265</v>
      </c>
      <c r="M138" s="4" t="s">
        <v>1058</v>
      </c>
      <c r="N138" s="4" t="s">
        <v>2304</v>
      </c>
      <c r="O138" s="4" t="s">
        <v>2305</v>
      </c>
      <c r="P138" s="4" t="s">
        <v>1322</v>
      </c>
      <c r="Q138" s="4" t="s">
        <v>117</v>
      </c>
    </row>
    <row r="139" spans="1:17" ht="72" x14ac:dyDescent="0.3">
      <c r="A139" s="7" t="s">
        <v>1162</v>
      </c>
      <c r="B139" s="4" t="s">
        <v>2306</v>
      </c>
      <c r="C139" s="4" t="s">
        <v>2307</v>
      </c>
      <c r="D139" s="4" t="s">
        <v>818</v>
      </c>
      <c r="E139" s="4" t="s">
        <v>185</v>
      </c>
      <c r="F139" s="4" t="s">
        <v>2308</v>
      </c>
      <c r="G139" s="4" t="s">
        <v>2309</v>
      </c>
      <c r="H139" s="4" t="s">
        <v>247</v>
      </c>
      <c r="I139" s="4" t="s">
        <v>73</v>
      </c>
      <c r="J139" s="4" t="s">
        <v>2310</v>
      </c>
      <c r="K139" s="4" t="s">
        <v>2311</v>
      </c>
      <c r="L139" s="4" t="s">
        <v>243</v>
      </c>
      <c r="M139" s="4" t="s">
        <v>107</v>
      </c>
      <c r="N139" s="4" t="s">
        <v>2312</v>
      </c>
      <c r="O139" s="4" t="s">
        <v>1166</v>
      </c>
      <c r="P139" s="4" t="s">
        <v>920</v>
      </c>
      <c r="Q139" s="4" t="s">
        <v>185</v>
      </c>
    </row>
    <row r="140" spans="1:17" ht="72" x14ac:dyDescent="0.3">
      <c r="A140" s="7" t="s">
        <v>1171</v>
      </c>
      <c r="B140" s="4" t="s">
        <v>2313</v>
      </c>
      <c r="C140" s="4" t="s">
        <v>2314</v>
      </c>
      <c r="D140" s="4" t="s">
        <v>152</v>
      </c>
      <c r="E140" s="4" t="s">
        <v>664</v>
      </c>
      <c r="F140" s="4" t="s">
        <v>2315</v>
      </c>
      <c r="G140" s="4" t="s">
        <v>2316</v>
      </c>
      <c r="H140" s="4" t="s">
        <v>1330</v>
      </c>
      <c r="I140" s="4" t="s">
        <v>407</v>
      </c>
      <c r="J140" s="4" t="s">
        <v>2317</v>
      </c>
      <c r="K140" s="4" t="s">
        <v>847</v>
      </c>
      <c r="L140" s="4" t="s">
        <v>838</v>
      </c>
      <c r="M140" s="4" t="s">
        <v>185</v>
      </c>
      <c r="N140" s="4" t="s">
        <v>2318</v>
      </c>
      <c r="O140" s="4" t="s">
        <v>264</v>
      </c>
      <c r="P140" s="4" t="s">
        <v>1034</v>
      </c>
      <c r="Q140" s="4" t="s">
        <v>185</v>
      </c>
    </row>
    <row r="141" spans="1:17" ht="57.6" x14ac:dyDescent="0.3">
      <c r="A141" s="7" t="s">
        <v>1180</v>
      </c>
      <c r="B141" s="4" t="s">
        <v>2319</v>
      </c>
      <c r="C141" s="4" t="s">
        <v>1974</v>
      </c>
      <c r="D141" s="4" t="s">
        <v>140</v>
      </c>
      <c r="E141" s="4" t="s">
        <v>2148</v>
      </c>
      <c r="F141" s="4" t="s">
        <v>2320</v>
      </c>
      <c r="G141" s="4" t="s">
        <v>2321</v>
      </c>
      <c r="H141" s="4" t="s">
        <v>325</v>
      </c>
      <c r="I141" s="4" t="s">
        <v>1382</v>
      </c>
      <c r="J141" s="4" t="s">
        <v>2322</v>
      </c>
      <c r="K141" s="4" t="s">
        <v>2323</v>
      </c>
      <c r="L141" s="4" t="s">
        <v>895</v>
      </c>
      <c r="M141" s="4" t="s">
        <v>1866</v>
      </c>
      <c r="N141" s="4" t="s">
        <v>2324</v>
      </c>
      <c r="O141" s="4" t="s">
        <v>2325</v>
      </c>
      <c r="P141" s="4" t="s">
        <v>1017</v>
      </c>
      <c r="Q141" s="4" t="s">
        <v>407</v>
      </c>
    </row>
    <row r="142" spans="1:17" ht="43.2" x14ac:dyDescent="0.3">
      <c r="A142" s="7" t="s">
        <v>1191</v>
      </c>
      <c r="B142" s="4" t="s">
        <v>2326</v>
      </c>
      <c r="C142" s="4" t="s">
        <v>2327</v>
      </c>
      <c r="D142" s="4" t="s">
        <v>62</v>
      </c>
      <c r="E142" s="4" t="s">
        <v>62</v>
      </c>
      <c r="F142" s="4" t="s">
        <v>2328</v>
      </c>
      <c r="G142" s="4" t="s">
        <v>2329</v>
      </c>
      <c r="H142" s="4" t="s">
        <v>62</v>
      </c>
      <c r="I142" s="4" t="s">
        <v>62</v>
      </c>
      <c r="J142" s="4" t="s">
        <v>2330</v>
      </c>
      <c r="K142" s="4" t="s">
        <v>2331</v>
      </c>
      <c r="L142" s="4" t="s">
        <v>62</v>
      </c>
      <c r="M142" s="4" t="s">
        <v>62</v>
      </c>
      <c r="N142" s="4" t="s">
        <v>2332</v>
      </c>
      <c r="O142" s="4" t="s">
        <v>2333</v>
      </c>
      <c r="P142" s="4" t="s">
        <v>62</v>
      </c>
      <c r="Q142" s="4" t="s">
        <v>62</v>
      </c>
    </row>
    <row r="143" spans="1:17" ht="28.8" x14ac:dyDescent="0.3">
      <c r="A143" s="4" t="s">
        <v>1278</v>
      </c>
      <c r="B143" s="4"/>
      <c r="C143" s="4"/>
      <c r="D143" s="4"/>
      <c r="E143" s="4"/>
      <c r="F143" s="4"/>
      <c r="G143" s="4"/>
      <c r="H143" s="4"/>
      <c r="I143" s="4"/>
      <c r="J143" s="4"/>
      <c r="K143" s="4"/>
      <c r="L143" s="4"/>
      <c r="M143" s="4"/>
      <c r="N143" s="4"/>
      <c r="O143" s="4"/>
      <c r="P143" s="4"/>
      <c r="Q143" s="4"/>
    </row>
    <row r="144" spans="1:17" ht="57.6" x14ac:dyDescent="0.3">
      <c r="A144" s="6" t="s">
        <v>1279</v>
      </c>
      <c r="B144" s="4" t="s">
        <v>2334</v>
      </c>
      <c r="C144" s="4" t="s">
        <v>2335</v>
      </c>
      <c r="D144" s="4" t="s">
        <v>2334</v>
      </c>
      <c r="E144" s="4" t="s">
        <v>62</v>
      </c>
      <c r="F144" s="4" t="s">
        <v>2336</v>
      </c>
      <c r="G144" s="4" t="s">
        <v>2337</v>
      </c>
      <c r="H144" s="4" t="s">
        <v>2336</v>
      </c>
      <c r="I144" s="4" t="s">
        <v>62</v>
      </c>
      <c r="J144" s="4" t="s">
        <v>2338</v>
      </c>
      <c r="K144" s="4" t="s">
        <v>2339</v>
      </c>
      <c r="L144" s="4" t="s">
        <v>2338</v>
      </c>
      <c r="M144" s="4" t="s">
        <v>62</v>
      </c>
      <c r="N144" s="4" t="s">
        <v>2340</v>
      </c>
      <c r="O144" s="4" t="s">
        <v>2341</v>
      </c>
      <c r="P144" s="4" t="s">
        <v>2340</v>
      </c>
      <c r="Q144" s="4" t="s">
        <v>62</v>
      </c>
    </row>
    <row r="145" spans="1:17" ht="43.2" x14ac:dyDescent="0.3">
      <c r="A145" s="7" t="s">
        <v>969</v>
      </c>
      <c r="B145" s="4" t="s">
        <v>2342</v>
      </c>
      <c r="C145" s="4" t="s">
        <v>2343</v>
      </c>
      <c r="D145" s="4" t="s">
        <v>1510</v>
      </c>
      <c r="E145" s="4" t="s">
        <v>1507</v>
      </c>
      <c r="F145" s="4" t="s">
        <v>2344</v>
      </c>
      <c r="G145" s="4" t="s">
        <v>1697</v>
      </c>
      <c r="H145" s="4" t="s">
        <v>213</v>
      </c>
      <c r="I145" s="4" t="s">
        <v>73</v>
      </c>
      <c r="J145" s="4" t="s">
        <v>2345</v>
      </c>
      <c r="K145" s="4" t="s">
        <v>622</v>
      </c>
      <c r="L145" s="4" t="s">
        <v>1620</v>
      </c>
      <c r="M145" s="4" t="s">
        <v>617</v>
      </c>
      <c r="N145" s="4" t="s">
        <v>2346</v>
      </c>
      <c r="O145" s="4" t="s">
        <v>2347</v>
      </c>
      <c r="P145" s="4" t="s">
        <v>157</v>
      </c>
      <c r="Q145" s="4" t="s">
        <v>109</v>
      </c>
    </row>
    <row r="146" spans="1:17" ht="43.2" x14ac:dyDescent="0.3">
      <c r="A146" s="7" t="s">
        <v>978</v>
      </c>
      <c r="B146" s="4" t="s">
        <v>2348</v>
      </c>
      <c r="C146" s="4" t="s">
        <v>2349</v>
      </c>
      <c r="D146" s="4" t="s">
        <v>2350</v>
      </c>
      <c r="E146" s="4" t="s">
        <v>2351</v>
      </c>
      <c r="F146" s="4" t="s">
        <v>2352</v>
      </c>
      <c r="G146" s="4" t="s">
        <v>2029</v>
      </c>
      <c r="H146" s="4" t="s">
        <v>278</v>
      </c>
      <c r="I146" s="4" t="s">
        <v>1074</v>
      </c>
      <c r="J146" s="4" t="s">
        <v>2353</v>
      </c>
      <c r="K146" s="4" t="s">
        <v>2354</v>
      </c>
      <c r="L146" s="4" t="s">
        <v>2283</v>
      </c>
      <c r="M146" s="4" t="s">
        <v>1653</v>
      </c>
      <c r="N146" s="4" t="s">
        <v>2355</v>
      </c>
      <c r="O146" s="4" t="s">
        <v>2356</v>
      </c>
      <c r="P146" s="4" t="s">
        <v>1017</v>
      </c>
      <c r="Q146" s="4" t="s">
        <v>617</v>
      </c>
    </row>
    <row r="147" spans="1:17" ht="57.6" x14ac:dyDescent="0.3">
      <c r="A147" s="7" t="s">
        <v>991</v>
      </c>
      <c r="B147" s="4" t="s">
        <v>2357</v>
      </c>
      <c r="C147" s="4" t="s">
        <v>2358</v>
      </c>
      <c r="D147" s="4" t="s">
        <v>2359</v>
      </c>
      <c r="E147" s="4" t="s">
        <v>2360</v>
      </c>
      <c r="F147" s="4" t="s">
        <v>2361</v>
      </c>
      <c r="G147" s="4" t="s">
        <v>2362</v>
      </c>
      <c r="H147" s="4" t="s">
        <v>987</v>
      </c>
      <c r="I147" s="4" t="s">
        <v>1245</v>
      </c>
      <c r="J147" s="4" t="s">
        <v>2363</v>
      </c>
      <c r="K147" s="4" t="s">
        <v>2364</v>
      </c>
      <c r="L147" s="4" t="s">
        <v>1147</v>
      </c>
      <c r="M147" s="4" t="s">
        <v>1471</v>
      </c>
      <c r="N147" s="4" t="s">
        <v>2365</v>
      </c>
      <c r="O147" s="4" t="s">
        <v>2217</v>
      </c>
      <c r="P147" s="4" t="s">
        <v>2366</v>
      </c>
      <c r="Q147" s="4" t="s">
        <v>1382</v>
      </c>
    </row>
    <row r="148" spans="1:17" ht="57.6" x14ac:dyDescent="0.3">
      <c r="A148" s="7" t="s">
        <v>1003</v>
      </c>
      <c r="B148" s="4" t="s">
        <v>2367</v>
      </c>
      <c r="C148" s="4" t="s">
        <v>2368</v>
      </c>
      <c r="D148" s="4" t="s">
        <v>316</v>
      </c>
      <c r="E148" s="4" t="s">
        <v>2369</v>
      </c>
      <c r="F148" s="4" t="s">
        <v>2370</v>
      </c>
      <c r="G148" s="4" t="s">
        <v>2371</v>
      </c>
      <c r="H148" s="4" t="s">
        <v>2372</v>
      </c>
      <c r="I148" s="4" t="s">
        <v>1245</v>
      </c>
      <c r="J148" s="4" t="s">
        <v>2373</v>
      </c>
      <c r="K148" s="4" t="s">
        <v>2374</v>
      </c>
      <c r="L148" s="4" t="s">
        <v>616</v>
      </c>
      <c r="M148" s="4" t="s">
        <v>1418</v>
      </c>
      <c r="N148" s="4" t="s">
        <v>2375</v>
      </c>
      <c r="O148" s="4" t="s">
        <v>2376</v>
      </c>
      <c r="P148" s="4" t="s">
        <v>2100</v>
      </c>
      <c r="Q148" s="4" t="s">
        <v>591</v>
      </c>
    </row>
    <row r="149" spans="1:17" ht="57.6" x14ac:dyDescent="0.3">
      <c r="A149" s="7" t="s">
        <v>1014</v>
      </c>
      <c r="B149" s="4" t="s">
        <v>2377</v>
      </c>
      <c r="C149" s="4" t="s">
        <v>2378</v>
      </c>
      <c r="D149" s="4" t="s">
        <v>152</v>
      </c>
      <c r="E149" s="4" t="s">
        <v>591</v>
      </c>
      <c r="F149" s="4" t="s">
        <v>2379</v>
      </c>
      <c r="G149" s="4" t="s">
        <v>2380</v>
      </c>
      <c r="H149" s="4" t="s">
        <v>2381</v>
      </c>
      <c r="I149" s="4" t="s">
        <v>1058</v>
      </c>
      <c r="J149" s="4" t="s">
        <v>2382</v>
      </c>
      <c r="K149" s="4" t="s">
        <v>2383</v>
      </c>
      <c r="L149" s="4" t="s">
        <v>157</v>
      </c>
      <c r="M149" s="4" t="s">
        <v>407</v>
      </c>
      <c r="N149" s="4" t="s">
        <v>2384</v>
      </c>
      <c r="O149" s="4" t="s">
        <v>2385</v>
      </c>
      <c r="P149" s="4" t="s">
        <v>402</v>
      </c>
      <c r="Q149" s="4" t="s">
        <v>394</v>
      </c>
    </row>
    <row r="150" spans="1:17" ht="57.6" x14ac:dyDescent="0.3">
      <c r="A150" s="7" t="s">
        <v>1026</v>
      </c>
      <c r="B150" s="4" t="s">
        <v>2386</v>
      </c>
      <c r="C150" s="4" t="s">
        <v>2387</v>
      </c>
      <c r="D150" s="4" t="s">
        <v>797</v>
      </c>
      <c r="E150" s="4" t="s">
        <v>127</v>
      </c>
      <c r="F150" s="4" t="s">
        <v>2388</v>
      </c>
      <c r="G150" s="4" t="s">
        <v>2389</v>
      </c>
      <c r="H150" s="4" t="s">
        <v>243</v>
      </c>
      <c r="I150" s="4" t="s">
        <v>117</v>
      </c>
      <c r="J150" s="4" t="s">
        <v>2390</v>
      </c>
      <c r="K150" s="4" t="s">
        <v>490</v>
      </c>
      <c r="L150" s="4" t="s">
        <v>474</v>
      </c>
      <c r="M150" s="4" t="s">
        <v>117</v>
      </c>
      <c r="N150" s="4" t="s">
        <v>2391</v>
      </c>
      <c r="O150" s="4" t="s">
        <v>2392</v>
      </c>
      <c r="P150" s="4" t="s">
        <v>243</v>
      </c>
      <c r="Q150" s="4" t="s">
        <v>109</v>
      </c>
    </row>
    <row r="151" spans="1:17" ht="43.2" x14ac:dyDescent="0.3">
      <c r="A151" s="7" t="s">
        <v>1038</v>
      </c>
      <c r="B151" s="4" t="s">
        <v>2393</v>
      </c>
      <c r="C151" s="4" t="s">
        <v>2394</v>
      </c>
      <c r="D151" s="4" t="s">
        <v>838</v>
      </c>
      <c r="E151" s="4" t="s">
        <v>407</v>
      </c>
      <c r="F151" s="4" t="s">
        <v>2395</v>
      </c>
      <c r="G151" s="4" t="s">
        <v>2396</v>
      </c>
      <c r="H151" s="4" t="s">
        <v>210</v>
      </c>
      <c r="I151" s="4" t="s">
        <v>109</v>
      </c>
      <c r="J151" s="4" t="s">
        <v>2397</v>
      </c>
      <c r="K151" s="4" t="s">
        <v>1992</v>
      </c>
      <c r="L151" s="4" t="s">
        <v>240</v>
      </c>
      <c r="M151" s="4" t="s">
        <v>109</v>
      </c>
      <c r="N151" s="4" t="s">
        <v>2398</v>
      </c>
      <c r="O151" s="4" t="s">
        <v>2399</v>
      </c>
      <c r="P151" s="4" t="s">
        <v>373</v>
      </c>
      <c r="Q151" s="4" t="s">
        <v>100</v>
      </c>
    </row>
    <row r="152" spans="1:17" ht="57.6" x14ac:dyDescent="0.3">
      <c r="A152" s="7" t="s">
        <v>933</v>
      </c>
      <c r="B152" s="4" t="s">
        <v>2400</v>
      </c>
      <c r="C152" s="4" t="s">
        <v>2401</v>
      </c>
      <c r="D152" s="4" t="s">
        <v>62</v>
      </c>
      <c r="E152" s="4" t="s">
        <v>62</v>
      </c>
      <c r="F152" s="4" t="s">
        <v>2402</v>
      </c>
      <c r="G152" s="4" t="s">
        <v>2403</v>
      </c>
      <c r="H152" s="4" t="s">
        <v>62</v>
      </c>
      <c r="I152" s="4" t="s">
        <v>62</v>
      </c>
      <c r="J152" s="4" t="s">
        <v>2404</v>
      </c>
      <c r="K152" s="4" t="s">
        <v>2405</v>
      </c>
      <c r="L152" s="4" t="s">
        <v>62</v>
      </c>
      <c r="M152" s="4" t="s">
        <v>62</v>
      </c>
      <c r="N152" s="4" t="s">
        <v>1234</v>
      </c>
      <c r="O152" s="4" t="s">
        <v>2406</v>
      </c>
      <c r="P152" s="4" t="s">
        <v>62</v>
      </c>
      <c r="Q152" s="4" t="s">
        <v>62</v>
      </c>
    </row>
    <row r="153" spans="1:17" ht="43.2" x14ac:dyDescent="0.3">
      <c r="A153" s="7" t="s">
        <v>1353</v>
      </c>
      <c r="B153" s="4" t="s">
        <v>2407</v>
      </c>
      <c r="C153" s="4" t="s">
        <v>1407</v>
      </c>
      <c r="D153" s="4" t="s">
        <v>62</v>
      </c>
      <c r="E153" s="4" t="s">
        <v>62</v>
      </c>
      <c r="F153" s="4" t="s">
        <v>2408</v>
      </c>
      <c r="G153" s="4" t="s">
        <v>2409</v>
      </c>
      <c r="H153" s="4" t="s">
        <v>62</v>
      </c>
      <c r="I153" s="4" t="s">
        <v>62</v>
      </c>
      <c r="J153" s="4" t="s">
        <v>2410</v>
      </c>
      <c r="K153" s="4" t="s">
        <v>2411</v>
      </c>
      <c r="L153" s="4" t="s">
        <v>62</v>
      </c>
      <c r="M153" s="4" t="s">
        <v>62</v>
      </c>
      <c r="N153" s="4" t="s">
        <v>2412</v>
      </c>
      <c r="O153" s="4" t="s">
        <v>2413</v>
      </c>
      <c r="P153" s="4" t="s">
        <v>62</v>
      </c>
      <c r="Q153" s="4" t="s">
        <v>62</v>
      </c>
    </row>
    <row r="154" spans="1:17" ht="129.6" x14ac:dyDescent="0.3">
      <c r="A154" s="4" t="s">
        <v>1361</v>
      </c>
      <c r="B154" s="4"/>
      <c r="C154" s="4"/>
      <c r="D154" s="4"/>
      <c r="E154" s="4"/>
      <c r="F154" s="4"/>
      <c r="G154" s="4"/>
      <c r="H154" s="4"/>
      <c r="I154" s="4"/>
      <c r="J154" s="4"/>
      <c r="K154" s="4"/>
      <c r="L154" s="4"/>
      <c r="M154" s="4"/>
      <c r="N154" s="4"/>
      <c r="O154" s="4"/>
      <c r="P154" s="4"/>
      <c r="Q154" s="4"/>
    </row>
    <row r="155" spans="1:17" ht="172.8" x14ac:dyDescent="0.3">
      <c r="A155" s="6" t="s">
        <v>1362</v>
      </c>
      <c r="B155" s="4" t="s">
        <v>2414</v>
      </c>
      <c r="C155" s="4" t="s">
        <v>2415</v>
      </c>
      <c r="D155" s="4" t="s">
        <v>2414</v>
      </c>
      <c r="E155" s="4" t="s">
        <v>62</v>
      </c>
      <c r="F155" s="4" t="s">
        <v>2416</v>
      </c>
      <c r="G155" s="4" t="s">
        <v>2417</v>
      </c>
      <c r="H155" s="4" t="s">
        <v>2416</v>
      </c>
      <c r="I155" s="4" t="s">
        <v>62</v>
      </c>
      <c r="J155" s="4" t="s">
        <v>2418</v>
      </c>
      <c r="K155" s="4" t="s">
        <v>1815</v>
      </c>
      <c r="L155" s="4" t="s">
        <v>2418</v>
      </c>
      <c r="M155" s="4" t="s">
        <v>62</v>
      </c>
      <c r="N155" s="4" t="s">
        <v>2419</v>
      </c>
      <c r="O155" s="4" t="s">
        <v>2420</v>
      </c>
      <c r="P155" s="4" t="s">
        <v>2419</v>
      </c>
      <c r="Q155" s="4" t="s">
        <v>62</v>
      </c>
    </row>
    <row r="156" spans="1:17" ht="72" x14ac:dyDescent="0.3">
      <c r="A156" s="7" t="s">
        <v>1371</v>
      </c>
      <c r="B156" s="4" t="s">
        <v>2421</v>
      </c>
      <c r="C156" s="4" t="s">
        <v>2422</v>
      </c>
      <c r="D156" s="4" t="s">
        <v>1392</v>
      </c>
      <c r="E156" s="4" t="s">
        <v>2084</v>
      </c>
      <c r="F156" s="4" t="s">
        <v>2423</v>
      </c>
      <c r="G156" s="4" t="s">
        <v>2424</v>
      </c>
      <c r="H156" s="4" t="s">
        <v>1533</v>
      </c>
      <c r="I156" s="4" t="s">
        <v>107</v>
      </c>
      <c r="J156" s="4" t="s">
        <v>2425</v>
      </c>
      <c r="K156" s="4" t="s">
        <v>2001</v>
      </c>
      <c r="L156" s="4" t="s">
        <v>383</v>
      </c>
      <c r="M156" s="4" t="s">
        <v>1074</v>
      </c>
      <c r="N156" s="4" t="s">
        <v>2426</v>
      </c>
      <c r="O156" s="4" t="s">
        <v>1445</v>
      </c>
      <c r="P156" s="4" t="s">
        <v>331</v>
      </c>
      <c r="Q156" s="4" t="s">
        <v>617</v>
      </c>
    </row>
    <row r="157" spans="1:17" ht="72" x14ac:dyDescent="0.3">
      <c r="A157" s="7" t="s">
        <v>1233</v>
      </c>
      <c r="B157" s="4" t="s">
        <v>2427</v>
      </c>
      <c r="C157" s="4" t="s">
        <v>2428</v>
      </c>
      <c r="D157" s="4" t="s">
        <v>439</v>
      </c>
      <c r="E157" s="4" t="s">
        <v>2429</v>
      </c>
      <c r="F157" s="4" t="s">
        <v>132</v>
      </c>
      <c r="G157" s="4" t="s">
        <v>2430</v>
      </c>
      <c r="H157" s="4" t="s">
        <v>436</v>
      </c>
      <c r="I157" s="4" t="s">
        <v>946</v>
      </c>
      <c r="J157" s="4" t="s">
        <v>2431</v>
      </c>
      <c r="K157" s="4" t="s">
        <v>2432</v>
      </c>
      <c r="L157" s="4" t="s">
        <v>450</v>
      </c>
      <c r="M157" s="4" t="s">
        <v>1507</v>
      </c>
      <c r="N157" s="4" t="s">
        <v>2433</v>
      </c>
      <c r="O157" s="4" t="s">
        <v>2434</v>
      </c>
      <c r="P157" s="4" t="s">
        <v>645</v>
      </c>
      <c r="Q157" s="4" t="s">
        <v>394</v>
      </c>
    </row>
    <row r="158" spans="1:17" ht="72" x14ac:dyDescent="0.3">
      <c r="A158" s="7" t="s">
        <v>1152</v>
      </c>
      <c r="B158" s="4" t="s">
        <v>2435</v>
      </c>
      <c r="C158" s="4" t="s">
        <v>2269</v>
      </c>
      <c r="D158" s="4" t="s">
        <v>2113</v>
      </c>
      <c r="E158" s="4" t="s">
        <v>2020</v>
      </c>
      <c r="F158" s="4" t="s">
        <v>2436</v>
      </c>
      <c r="G158" s="4" t="s">
        <v>2437</v>
      </c>
      <c r="H158" s="4" t="s">
        <v>1017</v>
      </c>
      <c r="I158" s="4" t="s">
        <v>1074</v>
      </c>
      <c r="J158" s="4" t="s">
        <v>2438</v>
      </c>
      <c r="K158" s="4" t="s">
        <v>2439</v>
      </c>
      <c r="L158" s="4" t="s">
        <v>1268</v>
      </c>
      <c r="M158" s="4" t="s">
        <v>1382</v>
      </c>
      <c r="N158" s="4" t="s">
        <v>2440</v>
      </c>
      <c r="O158" s="4" t="s">
        <v>2441</v>
      </c>
      <c r="P158" s="4" t="s">
        <v>1319</v>
      </c>
      <c r="Q158" s="4" t="s">
        <v>394</v>
      </c>
    </row>
    <row r="159" spans="1:17" ht="72" x14ac:dyDescent="0.3">
      <c r="A159" s="7" t="s">
        <v>1162</v>
      </c>
      <c r="B159" s="4" t="s">
        <v>2442</v>
      </c>
      <c r="C159" s="4" t="s">
        <v>2443</v>
      </c>
      <c r="D159" s="4" t="s">
        <v>281</v>
      </c>
      <c r="E159" s="4" t="s">
        <v>2369</v>
      </c>
      <c r="F159" s="4" t="s">
        <v>2444</v>
      </c>
      <c r="G159" s="4" t="s">
        <v>2445</v>
      </c>
      <c r="H159" s="4" t="s">
        <v>1695</v>
      </c>
      <c r="I159" s="4" t="s">
        <v>946</v>
      </c>
      <c r="J159" s="4" t="s">
        <v>2446</v>
      </c>
      <c r="K159" s="4" t="s">
        <v>2447</v>
      </c>
      <c r="L159" s="4" t="s">
        <v>1240</v>
      </c>
      <c r="M159" s="4" t="s">
        <v>1074</v>
      </c>
      <c r="N159" s="4" t="s">
        <v>2448</v>
      </c>
      <c r="O159" s="4" t="s">
        <v>2449</v>
      </c>
      <c r="P159" s="4" t="s">
        <v>629</v>
      </c>
      <c r="Q159" s="4" t="s">
        <v>117</v>
      </c>
    </row>
    <row r="160" spans="1:17" ht="72" x14ac:dyDescent="0.3">
      <c r="A160" s="7" t="s">
        <v>1171</v>
      </c>
      <c r="B160" s="4" t="s">
        <v>2450</v>
      </c>
      <c r="C160" s="4" t="s">
        <v>1399</v>
      </c>
      <c r="D160" s="4" t="s">
        <v>632</v>
      </c>
      <c r="E160" s="4" t="s">
        <v>2228</v>
      </c>
      <c r="F160" s="4" t="s">
        <v>2451</v>
      </c>
      <c r="G160" s="4" t="s">
        <v>2452</v>
      </c>
      <c r="H160" s="4" t="s">
        <v>1695</v>
      </c>
      <c r="I160" s="4" t="s">
        <v>1382</v>
      </c>
      <c r="J160" s="4" t="s">
        <v>2453</v>
      </c>
      <c r="K160" s="4" t="s">
        <v>2454</v>
      </c>
      <c r="L160" s="4" t="s">
        <v>180</v>
      </c>
      <c r="M160" s="4" t="s">
        <v>1074</v>
      </c>
      <c r="N160" s="4" t="s">
        <v>2455</v>
      </c>
      <c r="O160" s="4" t="s">
        <v>2456</v>
      </c>
      <c r="P160" s="4" t="s">
        <v>1720</v>
      </c>
      <c r="Q160" s="4" t="s">
        <v>107</v>
      </c>
    </row>
    <row r="161" spans="1:17" ht="57.6" x14ac:dyDescent="0.3">
      <c r="A161" s="7" t="s">
        <v>1180</v>
      </c>
      <c r="B161" s="4" t="s">
        <v>2457</v>
      </c>
      <c r="C161" s="4" t="s">
        <v>2458</v>
      </c>
      <c r="D161" s="4" t="s">
        <v>1300</v>
      </c>
      <c r="E161" s="4" t="s">
        <v>2459</v>
      </c>
      <c r="F161" s="4" t="s">
        <v>2460</v>
      </c>
      <c r="G161" s="4" t="s">
        <v>2461</v>
      </c>
      <c r="H161" s="4" t="s">
        <v>2462</v>
      </c>
      <c r="I161" s="4" t="s">
        <v>2153</v>
      </c>
      <c r="J161" s="4" t="s">
        <v>2463</v>
      </c>
      <c r="K161" s="4" t="s">
        <v>2464</v>
      </c>
      <c r="L161" s="4" t="s">
        <v>2465</v>
      </c>
      <c r="M161" s="4" t="s">
        <v>1070</v>
      </c>
      <c r="N161" s="4" t="s">
        <v>2466</v>
      </c>
      <c r="O161" s="4" t="s">
        <v>2467</v>
      </c>
      <c r="P161" s="4" t="s">
        <v>1769</v>
      </c>
      <c r="Q161" s="4" t="s">
        <v>1382</v>
      </c>
    </row>
    <row r="162" spans="1:17" ht="43.2" x14ac:dyDescent="0.3">
      <c r="A162" s="7" t="s">
        <v>1191</v>
      </c>
      <c r="B162" s="4" t="s">
        <v>2468</v>
      </c>
      <c r="C162" s="4" t="s">
        <v>2469</v>
      </c>
      <c r="D162" s="4" t="s">
        <v>62</v>
      </c>
      <c r="E162" s="4" t="s">
        <v>62</v>
      </c>
      <c r="F162" s="4" t="s">
        <v>2470</v>
      </c>
      <c r="G162" s="4" t="s">
        <v>582</v>
      </c>
      <c r="H162" s="4" t="s">
        <v>62</v>
      </c>
      <c r="I162" s="4" t="s">
        <v>62</v>
      </c>
      <c r="J162" s="4" t="s">
        <v>2471</v>
      </c>
      <c r="K162" s="4" t="s">
        <v>2472</v>
      </c>
      <c r="L162" s="4" t="s">
        <v>62</v>
      </c>
      <c r="M162" s="4" t="s">
        <v>62</v>
      </c>
      <c r="N162" s="4" t="s">
        <v>2473</v>
      </c>
      <c r="O162" s="4" t="s">
        <v>2474</v>
      </c>
      <c r="P162" s="4" t="s">
        <v>62</v>
      </c>
      <c r="Q162" s="4" t="s">
        <v>62</v>
      </c>
    </row>
  </sheetData>
  <mergeCells count="4">
    <mergeCell ref="B1:E1"/>
    <mergeCell ref="F1:I1"/>
    <mergeCell ref="J1:M1"/>
    <mergeCell ref="N1:Q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3EC9B-A216-494A-BAB4-4AF3BAE8FCDF}">
  <dimension ref="A1:D26"/>
  <sheetViews>
    <sheetView workbookViewId="0">
      <selection activeCell="D7" sqref="D7"/>
    </sheetView>
  </sheetViews>
  <sheetFormatPr defaultRowHeight="14.4" x14ac:dyDescent="0.3"/>
  <cols>
    <col min="1" max="1" width="19" customWidth="1"/>
    <col min="2" max="2" width="21.5546875" customWidth="1"/>
    <col min="3" max="3" width="14.6640625" customWidth="1"/>
  </cols>
  <sheetData>
    <row r="1" spans="1:4" x14ac:dyDescent="0.3">
      <c r="A1" s="35" t="s">
        <v>5109</v>
      </c>
      <c r="B1" s="35" t="s">
        <v>5110</v>
      </c>
      <c r="C1" t="s">
        <v>5111</v>
      </c>
      <c r="D1" t="s">
        <v>5112</v>
      </c>
    </row>
    <row r="2" spans="1:4" x14ac:dyDescent="0.3">
      <c r="A2" s="36">
        <v>36526</v>
      </c>
      <c r="B2" s="37">
        <v>3.3768572714992899</v>
      </c>
      <c r="C2">
        <v>1</v>
      </c>
      <c r="D2">
        <f>C2/C$26</f>
        <v>0.54895164156836929</v>
      </c>
    </row>
    <row r="3" spans="1:4" x14ac:dyDescent="0.3">
      <c r="A3" s="36">
        <v>36892</v>
      </c>
      <c r="B3" s="37">
        <v>2.8261711188540701</v>
      </c>
      <c r="C3">
        <f>C2*(1+B3/100)</f>
        <v>1.0282617111885406</v>
      </c>
      <c r="D3" s="34">
        <f>C3/C$26</f>
        <v>0.56446595431884983</v>
      </c>
    </row>
    <row r="4" spans="1:4" x14ac:dyDescent="0.3">
      <c r="A4" s="36">
        <v>37257</v>
      </c>
      <c r="B4" s="37">
        <v>1.5860316265060099</v>
      </c>
      <c r="C4" s="34">
        <f t="shared" ref="C4:C26" si="0">C3*(1+B4/100)</f>
        <v>1.0445702671312427</v>
      </c>
      <c r="D4" s="34">
        <f>C4/C$26</f>
        <v>0.57341856287520565</v>
      </c>
    </row>
    <row r="5" spans="1:4" x14ac:dyDescent="0.3">
      <c r="A5" s="36">
        <v>37622</v>
      </c>
      <c r="B5" s="37">
        <v>2.2700949733611502</v>
      </c>
      <c r="C5" s="34">
        <f t="shared" si="0"/>
        <v>1.0682830042586142</v>
      </c>
      <c r="D5" s="34">
        <f>C5/C$26</f>
        <v>0.58643570884735552</v>
      </c>
    </row>
    <row r="6" spans="1:4" x14ac:dyDescent="0.3">
      <c r="A6" s="36">
        <v>37987</v>
      </c>
      <c r="B6" s="37">
        <v>2.6772366930917202</v>
      </c>
      <c r="C6" s="34">
        <f t="shared" si="0"/>
        <v>1.0968834688346885</v>
      </c>
      <c r="D6" s="34">
        <f>C6/C$26</f>
        <v>0.6021359808260095</v>
      </c>
    </row>
    <row r="7" spans="1:4" x14ac:dyDescent="0.3">
      <c r="A7" s="36">
        <v>38353</v>
      </c>
      <c r="B7" s="37">
        <v>3.3927468454955001</v>
      </c>
      <c r="C7" s="34">
        <f t="shared" si="0"/>
        <v>1.134097948122339</v>
      </c>
      <c r="D7" s="34">
        <f>C7/C$26</f>
        <v>0.62256493032107729</v>
      </c>
    </row>
    <row r="8" spans="1:4" x14ac:dyDescent="0.3">
      <c r="A8" s="36">
        <v>38718</v>
      </c>
      <c r="B8" s="37">
        <v>3.2259441007040399</v>
      </c>
      <c r="C8" s="34">
        <f t="shared" si="0"/>
        <v>1.1706833139759973</v>
      </c>
      <c r="D8" s="34">
        <f>C8/C$26</f>
        <v>0.64264852696382235</v>
      </c>
    </row>
    <row r="9" spans="1:4" x14ac:dyDescent="0.3">
      <c r="A9" s="36">
        <v>39083</v>
      </c>
      <c r="B9" s="37">
        <v>2.8526724815013802</v>
      </c>
      <c r="C9" s="34">
        <f t="shared" si="0"/>
        <v>1.2040790747193191</v>
      </c>
      <c r="D9" s="34">
        <f>C9/C$26</f>
        <v>0.66098118464529332</v>
      </c>
    </row>
    <row r="10" spans="1:4" x14ac:dyDescent="0.3">
      <c r="A10" s="36">
        <v>39448</v>
      </c>
      <c r="B10" s="37">
        <v>3.8391002966509999</v>
      </c>
      <c r="C10" s="34">
        <f t="shared" si="0"/>
        <v>1.2503048780487811</v>
      </c>
      <c r="D10" s="34">
        <f>C10/C$26</f>
        <v>0.6863569152658181</v>
      </c>
    </row>
    <row r="11" spans="1:4" x14ac:dyDescent="0.3">
      <c r="A11" s="36">
        <v>39814</v>
      </c>
      <c r="B11" s="37">
        <v>-0.355546266299747</v>
      </c>
      <c r="C11" s="34">
        <f t="shared" si="0"/>
        <v>1.245859465737515</v>
      </c>
      <c r="D11" s="34">
        <f>C11/C$26</f>
        <v>0.68391659888010037</v>
      </c>
    </row>
    <row r="12" spans="1:4" x14ac:dyDescent="0.3">
      <c r="A12" s="36">
        <v>40179</v>
      </c>
      <c r="B12" s="37">
        <v>1.6400434423899</v>
      </c>
      <c r="C12" s="34">
        <f t="shared" si="0"/>
        <v>1.266292102206737</v>
      </c>
      <c r="D12" s="34">
        <f>C12/C$26</f>
        <v>0.69513312821144957</v>
      </c>
    </row>
    <row r="13" spans="1:4" x14ac:dyDescent="0.3">
      <c r="A13" s="36">
        <v>40544</v>
      </c>
      <c r="B13" s="37">
        <v>3.1568415686220002</v>
      </c>
      <c r="C13" s="34">
        <f t="shared" si="0"/>
        <v>1.3062669376693765</v>
      </c>
      <c r="D13" s="34">
        <f>C13/C$26</f>
        <v>0.71707737976009089</v>
      </c>
    </row>
    <row r="14" spans="1:4" x14ac:dyDescent="0.3">
      <c r="A14" s="36">
        <v>40909</v>
      </c>
      <c r="B14" s="37">
        <v>2.0693372652606699</v>
      </c>
      <c r="C14" s="34">
        <f t="shared" si="0"/>
        <v>1.3332980061943482</v>
      </c>
      <c r="D14" s="34">
        <f>C14/C$26</f>
        <v>0.7319161292002212</v>
      </c>
    </row>
    <row r="15" spans="1:4" x14ac:dyDescent="0.3">
      <c r="A15" s="36">
        <v>41275</v>
      </c>
      <c r="B15" s="37">
        <v>1.46483265562717</v>
      </c>
      <c r="C15" s="34">
        <f t="shared" si="0"/>
        <v>1.3528285907859092</v>
      </c>
      <c r="D15" s="34">
        <f>C15/C$26</f>
        <v>0.74263747567254856</v>
      </c>
    </row>
    <row r="16" spans="1:4" x14ac:dyDescent="0.3">
      <c r="A16" s="36">
        <v>41640</v>
      </c>
      <c r="B16" s="37">
        <v>1.62222297740817</v>
      </c>
      <c r="C16" s="34">
        <f t="shared" si="0"/>
        <v>1.3747744870305854</v>
      </c>
      <c r="D16" s="34">
        <f>C16/C$26</f>
        <v>0.75468471144175264</v>
      </c>
    </row>
    <row r="17" spans="1:4" x14ac:dyDescent="0.3">
      <c r="A17" s="36">
        <v>42005</v>
      </c>
      <c r="B17" s="37">
        <v>0.118627135552451</v>
      </c>
      <c r="C17" s="34">
        <f t="shared" si="0"/>
        <v>1.3764053426248555</v>
      </c>
      <c r="D17" s="34">
        <f>C17/C$26</f>
        <v>0.75557997229738816</v>
      </c>
    </row>
    <row r="18" spans="1:4" x14ac:dyDescent="0.3">
      <c r="A18" s="36">
        <v>42370</v>
      </c>
      <c r="B18" s="37">
        <v>1.26158320570536</v>
      </c>
      <c r="C18" s="34">
        <f t="shared" si="0"/>
        <v>1.3937698412698418</v>
      </c>
      <c r="D18" s="34">
        <f>C18/C$26</f>
        <v>0.76511224233356512</v>
      </c>
    </row>
    <row r="19" spans="1:4" x14ac:dyDescent="0.3">
      <c r="A19" s="36">
        <v>42736</v>
      </c>
      <c r="B19" s="37">
        <v>2.1301100036596101</v>
      </c>
      <c r="C19" s="34">
        <f t="shared" si="0"/>
        <v>1.4234586720867215</v>
      </c>
      <c r="D19" s="34">
        <f>C19/C$26</f>
        <v>0.78140997474673679</v>
      </c>
    </row>
    <row r="20" spans="1:4" x14ac:dyDescent="0.3">
      <c r="A20" s="36">
        <v>43101</v>
      </c>
      <c r="B20" s="37">
        <v>2.44258329692817</v>
      </c>
      <c r="C20" s="34">
        <f t="shared" si="0"/>
        <v>1.4582278358497873</v>
      </c>
      <c r="D20" s="34">
        <f>C20/C$26</f>
        <v>0.80049656427043125</v>
      </c>
    </row>
    <row r="21" spans="1:4" x14ac:dyDescent="0.3">
      <c r="A21" s="36">
        <v>43466</v>
      </c>
      <c r="B21" s="37">
        <v>1.8122100752602099</v>
      </c>
      <c r="C21" s="34">
        <f t="shared" si="0"/>
        <v>1.4846539876113058</v>
      </c>
      <c r="D21" s="34">
        <f>C21/C$26</f>
        <v>0.81500324366025167</v>
      </c>
    </row>
    <row r="22" spans="1:4" x14ac:dyDescent="0.3">
      <c r="A22" s="36">
        <v>43831</v>
      </c>
      <c r="B22" s="37">
        <v>1.23358439630629</v>
      </c>
      <c r="C22" s="34">
        <f t="shared" si="0"/>
        <v>1.5029684475416181</v>
      </c>
      <c r="D22" s="34">
        <f>C22/C$26</f>
        <v>0.82505699650343478</v>
      </c>
    </row>
    <row r="23" spans="1:4" x14ac:dyDescent="0.3">
      <c r="A23" s="36">
        <v>44197</v>
      </c>
      <c r="B23" s="37">
        <v>4.6978588636374203</v>
      </c>
      <c r="C23" s="34">
        <f t="shared" si="0"/>
        <v>1.5735757839721258</v>
      </c>
      <c r="D23" s="34">
        <f>C23/C$26</f>
        <v>0.8638170097437321</v>
      </c>
    </row>
    <row r="24" spans="1:4" x14ac:dyDescent="0.3">
      <c r="A24" s="36">
        <v>44562</v>
      </c>
      <c r="B24" s="37">
        <v>8.0027998205212096</v>
      </c>
      <c r="C24" s="34">
        <f t="shared" si="0"/>
        <v>1.6995059039876124</v>
      </c>
      <c r="D24" s="34">
        <f>C24/C$26</f>
        <v>0.93294655584913522</v>
      </c>
    </row>
    <row r="25" spans="1:4" x14ac:dyDescent="0.3">
      <c r="A25" s="36">
        <v>44927</v>
      </c>
      <c r="B25" s="37">
        <v>4.1163383837448801</v>
      </c>
      <c r="C25" s="34">
        <f t="shared" si="0"/>
        <v>1.7694633178474648</v>
      </c>
      <c r="D25" s="34">
        <f>C25/C$26</f>
        <v>0.971349793027379</v>
      </c>
    </row>
    <row r="26" spans="1:4" x14ac:dyDescent="0.3">
      <c r="A26" s="36">
        <v>45292</v>
      </c>
      <c r="B26" s="37">
        <v>2.9495252048520699</v>
      </c>
      <c r="C26" s="34">
        <f t="shared" si="0"/>
        <v>1.8216540843979876</v>
      </c>
      <c r="D26" s="34">
        <f>C26/C$26</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Information</vt:lpstr>
      <vt:lpstr>Table</vt:lpstr>
      <vt:lpstr>Income (2024)</vt:lpstr>
      <vt:lpstr>Income (2020)</vt:lpstr>
      <vt:lpstr>Population (2020)</vt:lpstr>
      <vt:lpstr>Population (2024)</vt:lpstr>
      <vt:lpstr>Data (2020)</vt:lpstr>
      <vt:lpstr>Data (2024)</vt:lpstr>
      <vt:lpstr>CPI Fred Data</vt:lpstr>
      <vt:lpstr>'Data (2020)'!Print_Titles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2026-04-23T17:14:50Z</dcterms:created>
  <dcterms:modified xsi:type="dcterms:W3CDTF">2026-04-23T18:13:15Z</dcterms:modified>
</cp:coreProperties>
</file>